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2.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97510A9B-9649-4321-B1D4-DFD651F76A13}" xr6:coauthVersionLast="36" xr6:coauthVersionMax="36" xr10:uidLastSave="{00000000-0000-0000-0000-000000000000}"/>
  <bookViews>
    <workbookView xWindow="0" yWindow="0" windowWidth="19200" windowHeight="6350" firstSheet="7" activeTab="10" xr2:uid="{00000000-000D-0000-FFFF-FFFF00000000}"/>
  </bookViews>
  <sheets>
    <sheet name="AV.discount &amp; rating" sheetId="4" r:id="rId1"/>
    <sheet name="Total_reviews" sheetId="6" r:id="rId2"/>
    <sheet name="discounts_and_reviews" sheetId="9" r:id="rId3"/>
    <sheet name="Ratings" sheetId="8" r:id="rId4"/>
    <sheet name="Top_10_Ratings" sheetId="11" r:id="rId5"/>
    <sheet name="Top_10_Review" sheetId="12" r:id="rId6"/>
    <sheet name="Top_10_Discount" sheetId="14" r:id="rId7"/>
    <sheet name="products_by_rating_category" sheetId="16" r:id="rId8"/>
    <sheet name="Products_by_discount" sheetId="17" r:id="rId9"/>
    <sheet name="Excel_jumia_dataset" sheetId="3" r:id="rId10"/>
    <sheet name="Dashboard" sheetId="10" r:id="rId11"/>
  </sheets>
  <definedNames>
    <definedName name="_xlnm._FilterDatabase" localSheetId="9" hidden="1">Excel_jumia_dataset!$A$1:$O$114</definedName>
    <definedName name="Slicer_Product">#N/A</definedName>
    <definedName name="Slicer_Product_Discount">#N/A</definedName>
    <definedName name="Slicer_Ratings">#N/A</definedName>
  </definedNames>
  <calcPr calcId="191029"/>
  <pivotCaches>
    <pivotCache cacheId="148" r:id="rId12"/>
    <pivotCache cacheId="149"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M7" i="3" l="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2" i="3"/>
  <c r="M99" i="3" l="1"/>
  <c r="M6" i="3"/>
  <c r="M5" i="3"/>
  <c r="M4" i="3"/>
  <c r="M3" i="3"/>
  <c r="M2" i="3"/>
  <c r="G55" i="3" l="1"/>
  <c r="G77" i="3"/>
  <c r="G78" i="3"/>
  <c r="G79" i="3"/>
  <c r="G56" i="3"/>
  <c r="G80" i="3"/>
  <c r="G57" i="3"/>
  <c r="G81" i="3"/>
  <c r="G58" i="3"/>
  <c r="G59" i="3"/>
  <c r="G82" i="3"/>
  <c r="G83" i="3"/>
  <c r="G84" i="3"/>
  <c r="G60" i="3"/>
  <c r="G85" i="3"/>
  <c r="G86" i="3"/>
  <c r="G87" i="3"/>
  <c r="G88" i="3"/>
  <c r="G89" i="3"/>
  <c r="G61" i="3"/>
  <c r="G7" i="3"/>
  <c r="G62" i="3"/>
  <c r="G63" i="3"/>
  <c r="G64" i="3"/>
  <c r="G90" i="3"/>
  <c r="G65" i="3"/>
  <c r="G66" i="3"/>
  <c r="G67" i="3"/>
  <c r="G8" i="3"/>
  <c r="G68" i="3"/>
  <c r="G91" i="3"/>
  <c r="G69" i="3"/>
  <c r="G92" i="3"/>
  <c r="G93" i="3"/>
  <c r="G94" i="3"/>
  <c r="G95" i="3"/>
  <c r="G70" i="3"/>
  <c r="G96" i="3"/>
  <c r="G9" i="3"/>
  <c r="G10" i="3"/>
  <c r="G11" i="3"/>
  <c r="G12" i="3"/>
  <c r="G13" i="3"/>
  <c r="G14" i="3"/>
  <c r="G15" i="3"/>
  <c r="G16" i="3"/>
  <c r="G17" i="3"/>
  <c r="G18" i="3"/>
  <c r="G19" i="3"/>
  <c r="G20" i="3"/>
  <c r="G21" i="3"/>
  <c r="G22" i="3"/>
  <c r="G23" i="3"/>
  <c r="G24" i="3"/>
  <c r="G100" i="3"/>
  <c r="G71" i="3"/>
  <c r="G101" i="3"/>
  <c r="G102" i="3"/>
  <c r="G103" i="3"/>
  <c r="G104" i="3"/>
  <c r="G105" i="3"/>
  <c r="G106" i="3"/>
  <c r="G72" i="3"/>
  <c r="G107" i="3"/>
  <c r="G108" i="3"/>
  <c r="G109" i="3"/>
  <c r="G73" i="3"/>
  <c r="G110" i="3"/>
  <c r="G111" i="3"/>
  <c r="G112" i="3"/>
  <c r="G25" i="3"/>
  <c r="G26" i="3"/>
  <c r="G27" i="3"/>
  <c r="G74" i="3"/>
  <c r="G97" i="3"/>
  <c r="G28" i="3"/>
  <c r="G29" i="3"/>
  <c r="G75" i="3"/>
  <c r="G30" i="3"/>
  <c r="G31" i="3"/>
  <c r="G32" i="3"/>
  <c r="G33" i="3"/>
  <c r="G34" i="3"/>
  <c r="G35" i="3"/>
  <c r="G36" i="3"/>
  <c r="G37" i="3"/>
  <c r="G38" i="3"/>
  <c r="G39" i="3"/>
  <c r="G40" i="3"/>
  <c r="G41" i="3"/>
  <c r="G42" i="3"/>
  <c r="G43" i="3"/>
  <c r="G44" i="3"/>
  <c r="G45" i="3"/>
  <c r="G98" i="3"/>
  <c r="G46" i="3"/>
  <c r="G47" i="3"/>
  <c r="G48" i="3"/>
  <c r="G49" i="3"/>
  <c r="G50" i="3"/>
  <c r="G51" i="3"/>
  <c r="G52" i="3"/>
  <c r="G53" i="3"/>
  <c r="G113" i="3"/>
  <c r="G54" i="3"/>
  <c r="G2" i="3"/>
  <c r="G3" i="3"/>
  <c r="G4" i="3"/>
  <c r="G5" i="3"/>
  <c r="G6" i="3"/>
  <c r="G99" i="3"/>
  <c r="G76" i="3"/>
  <c r="E55" i="3"/>
  <c r="E77" i="3"/>
  <c r="E78" i="3"/>
  <c r="E79" i="3"/>
  <c r="E56" i="3"/>
  <c r="E80" i="3"/>
  <c r="E57" i="3"/>
  <c r="E81" i="3"/>
  <c r="E58" i="3"/>
  <c r="E59" i="3"/>
  <c r="E82" i="3"/>
  <c r="E83" i="3"/>
  <c r="E84" i="3"/>
  <c r="E60" i="3"/>
  <c r="E85" i="3"/>
  <c r="E86" i="3"/>
  <c r="E87" i="3"/>
  <c r="E88" i="3"/>
  <c r="E89" i="3"/>
  <c r="E61" i="3"/>
  <c r="E7" i="3"/>
  <c r="E62" i="3"/>
  <c r="E63" i="3"/>
  <c r="E64" i="3"/>
  <c r="E90" i="3"/>
  <c r="E65" i="3"/>
  <c r="E66" i="3"/>
  <c r="E67" i="3"/>
  <c r="E8" i="3"/>
  <c r="E68" i="3"/>
  <c r="E91" i="3"/>
  <c r="E69" i="3"/>
  <c r="E92" i="3"/>
  <c r="E93" i="3"/>
  <c r="E94" i="3"/>
  <c r="E95" i="3"/>
  <c r="E70" i="3"/>
  <c r="E96" i="3"/>
  <c r="E9" i="3"/>
  <c r="E10" i="3"/>
  <c r="E11" i="3"/>
  <c r="E12" i="3"/>
  <c r="E13" i="3"/>
  <c r="E14" i="3"/>
  <c r="E15" i="3"/>
  <c r="E16" i="3"/>
  <c r="E17" i="3"/>
  <c r="E18" i="3"/>
  <c r="E19" i="3"/>
  <c r="E20" i="3"/>
  <c r="E21" i="3"/>
  <c r="E22" i="3"/>
  <c r="E23" i="3"/>
  <c r="E24" i="3"/>
  <c r="E100" i="3"/>
  <c r="E71" i="3"/>
  <c r="E101" i="3"/>
  <c r="E102" i="3"/>
  <c r="E103" i="3"/>
  <c r="E104" i="3"/>
  <c r="E105" i="3"/>
  <c r="E106" i="3"/>
  <c r="E72" i="3"/>
  <c r="E107" i="3"/>
  <c r="E108" i="3"/>
  <c r="E109" i="3"/>
  <c r="E73" i="3"/>
  <c r="E110" i="3"/>
  <c r="E111" i="3"/>
  <c r="E112" i="3"/>
  <c r="E25" i="3"/>
  <c r="E26" i="3"/>
  <c r="E27" i="3"/>
  <c r="E74" i="3"/>
  <c r="E97" i="3"/>
  <c r="E28" i="3"/>
  <c r="E29" i="3"/>
  <c r="E75" i="3"/>
  <c r="E30" i="3"/>
  <c r="E31" i="3"/>
  <c r="E32" i="3"/>
  <c r="E33" i="3"/>
  <c r="E34" i="3"/>
  <c r="E35" i="3"/>
  <c r="E36" i="3"/>
  <c r="E37" i="3"/>
  <c r="E38" i="3"/>
  <c r="E39" i="3"/>
  <c r="E40" i="3"/>
  <c r="E41" i="3"/>
  <c r="E42" i="3"/>
  <c r="E43" i="3"/>
  <c r="E44" i="3"/>
  <c r="E45" i="3"/>
  <c r="E98" i="3"/>
  <c r="E46" i="3"/>
  <c r="E47" i="3"/>
  <c r="E48" i="3"/>
  <c r="E49" i="3"/>
  <c r="E50" i="3"/>
  <c r="E51" i="3"/>
  <c r="E52" i="3"/>
  <c r="E53" i="3"/>
  <c r="E113" i="3"/>
  <c r="E54" i="3"/>
  <c r="E2" i="3"/>
  <c r="E3" i="3"/>
  <c r="E4" i="3"/>
  <c r="E5" i="3"/>
  <c r="E6" i="3"/>
  <c r="E99" i="3"/>
  <c r="E76" i="3"/>
</calcChain>
</file>

<file path=xl/sharedStrings.xml><?xml version="1.0" encoding="utf-8"?>
<sst xmlns="http://schemas.openxmlformats.org/spreadsheetml/2006/main" count="464" uniqueCount="161">
  <si>
    <t>Product</t>
  </si>
  <si>
    <t>Current price</t>
  </si>
  <si>
    <t>old price</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</si>
  <si>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</si>
  <si>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</si>
  <si>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</si>
  <si>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</si>
  <si>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</si>
  <si>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</si>
  <si>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</si>
  <si>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</si>
  <si>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</si>
  <si>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</si>
  <si>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</si>
  <si>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</si>
  <si>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</si>
  <si>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</si>
  <si>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</si>
  <si>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</si>
  <si>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</si>
  <si>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</si>
  <si>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</si>
  <si>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</si>
  <si>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</si>
  <si>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</si>
  <si>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</si>
  <si>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</si>
  <si>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</si>
  <si>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</si>
  <si>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</si>
  <si>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</si>
  <si>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</si>
  <si>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</si>
  <si>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</si>
  <si>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</si>
  <si>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</si>
  <si>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</si>
  <si>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</si>
  <si>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</si>
  <si>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</si>
  <si>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</si>
  <si>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</si>
  <si>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</si>
  <si>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</si>
  <si>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</si>
  <si>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</si>
  <si>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</si>
  <si>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</si>
  <si>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</si>
  <si>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</si>
  <si>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</si>
  <si>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</si>
  <si>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</si>
  <si>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</si>
  <si>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</si>
  <si>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</si>
  <si>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</si>
  <si>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</si>
  <si>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</si>
  <si>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</si>
  <si>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</si>
  <si>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</si>
  <si>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</si>
  <si>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</si>
  <si>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</si>
  <si>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</si>
  <si>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</si>
  <si>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</si>
  <si>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</si>
  <si>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</si>
  <si>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</si>
  <si>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</si>
  <si>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</si>
  <si>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</si>
  <si>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</si>
  <si>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</si>
  <si>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</si>
  <si>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</si>
  <si>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</si>
  <si>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</si>
  <si>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</si>
  <si>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</si>
  <si>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</si>
  <si>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</si>
  <si>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</si>
  <si>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</si>
  <si>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</si>
  <si>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</si>
  <si>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</si>
  <si>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</si>
  <si>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</si>
  <si>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</si>
  <si>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</si>
  <si>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</si>
  <si>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</si>
  <si>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</si>
  <si>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</si>
  <si>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</si>
  <si>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</si>
  <si>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</si>
  <si>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</si>
  <si>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</si>
  <si>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</si>
  <si>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</si>
  <si>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</si>
  <si>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</si>
  <si>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</si>
  <si>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</si>
  <si>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</si>
  <si>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</si>
  <si>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</si>
  <si>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</si>
  <si>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</si>
  <si>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Ratings</t>
  </si>
  <si>
    <t>Absolute discount amount</t>
  </si>
  <si>
    <t>Product Rating</t>
  </si>
  <si>
    <t xml:space="preserve">Product Discount </t>
  </si>
  <si>
    <t>Average Current price</t>
  </si>
  <si>
    <t>Average old price</t>
  </si>
  <si>
    <t>Average discount percentage</t>
  </si>
  <si>
    <t>Average rating</t>
  </si>
  <si>
    <t>Most Expensive Product</t>
  </si>
  <si>
    <t xml:space="preserve">Least Expensive Product </t>
  </si>
  <si>
    <t xml:space="preserve">Product Category </t>
  </si>
  <si>
    <t>Kitchen &amp; Dining</t>
  </si>
  <si>
    <t>Tools &amp; Hardware</t>
  </si>
  <si>
    <t>Home Decor &amp; Furnishings</t>
  </si>
  <si>
    <t>Automotive Accessories</t>
  </si>
  <si>
    <t>General Household Items</t>
  </si>
  <si>
    <t>Electrical &amp; Lighting</t>
  </si>
  <si>
    <t>Furniture</t>
  </si>
  <si>
    <t>Health, Personal Care &amp; Bathroom</t>
  </si>
  <si>
    <t>Arts, Crafts &amp; Hobbies</t>
  </si>
  <si>
    <t>Storage &amp; Organization</t>
  </si>
  <si>
    <t>Safety &amp; Protective Equipment</t>
  </si>
  <si>
    <t>Baby &amp; Kids</t>
  </si>
  <si>
    <t>Fashion Accessories</t>
  </si>
  <si>
    <t>Row Labels</t>
  </si>
  <si>
    <t>Grand Total</t>
  </si>
  <si>
    <t>Average of Ratings</t>
  </si>
  <si>
    <t>Discount percentage</t>
  </si>
  <si>
    <t>Average of Discount percentage</t>
  </si>
  <si>
    <t>Products</t>
  </si>
  <si>
    <t xml:space="preserve">Top 5 products with highest ratings </t>
  </si>
  <si>
    <t xml:space="preserve">Top 5 products with lowest ratings </t>
  </si>
  <si>
    <t xml:space="preserve"> Discount percentage</t>
  </si>
  <si>
    <t>Top 10 products with the highest discounts</t>
  </si>
  <si>
    <t>Sum of Review</t>
  </si>
  <si>
    <t xml:space="preserve"> Review</t>
  </si>
  <si>
    <t>Top 10 products with the most reviews</t>
  </si>
  <si>
    <t>Sum of Ratings</t>
  </si>
  <si>
    <t>Sum of Discount percentage</t>
  </si>
  <si>
    <t>Average</t>
  </si>
  <si>
    <t>Excellent</t>
  </si>
  <si>
    <t>Poor</t>
  </si>
  <si>
    <t>Count of Product</t>
  </si>
  <si>
    <t>No rating</t>
  </si>
  <si>
    <t>Least Expensive Product</t>
  </si>
  <si>
    <t>High Discount</t>
  </si>
  <si>
    <t>Low Discount</t>
  </si>
  <si>
    <t>Medium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</si>
</sst>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0_ ;\-0\ "/>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3">
    <xf numFmtId="0" fontId="0" fillId="0" borderId="0"/>
    <xf numFmtId="41"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9" fontId="0" fillId="0" borderId="0" xfId="0" applyNumberFormat="1"/>
    <xf numFmtId="41" fontId="0" fillId="0" borderId="0" xfId="1" applyFont="1"/>
    <xf numFmtId="0" fontId="16" fillId="0" borderId="0" xfId="0" applyFont="1"/>
    <xf numFmtId="0" fontId="16" fillId="0" borderId="10" xfId="0" applyFont="1" applyBorder="1"/>
    <xf numFmtId="41" fontId="16" fillId="0" borderId="10" xfId="1" applyFont="1" applyBorder="1"/>
    <xf numFmtId="0" fontId="0" fillId="0" borderId="10" xfId="0" applyBorder="1"/>
    <xf numFmtId="164" fontId="0" fillId="0" borderId="10" xfId="1" applyNumberFormat="1" applyFont="1" applyBorder="1"/>
    <xf numFmtId="9" fontId="0" fillId="0" borderId="10" xfId="0" applyNumberFormat="1" applyBorder="1"/>
    <xf numFmtId="41" fontId="16" fillId="0" borderId="10" xfId="1" applyFont="1" applyBorder="1" applyAlignment="1">
      <alignment wrapText="1"/>
    </xf>
    <xf numFmtId="0" fontId="16" fillId="0" borderId="0" xfId="0" applyFont="1" applyAlignment="1">
      <alignment wrapText="1"/>
    </xf>
    <xf numFmtId="164" fontId="0" fillId="0" borderId="0" xfId="0" applyNumberFormat="1"/>
    <xf numFmtId="165" fontId="0" fillId="0" borderId="0" xfId="0" applyNumberFormat="1"/>
    <xf numFmtId="0" fontId="16" fillId="0" borderId="10" xfId="0" applyFont="1" applyBorder="1" applyAlignment="1">
      <alignment wrapText="1"/>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16" fillId="0" borderId="0" xfId="0" applyFont="1" applyBorder="1" applyAlignment="1">
      <alignment wrapText="1"/>
    </xf>
    <xf numFmtId="0" fontId="0" fillId="0" borderId="0" xfId="0" applyBorder="1"/>
    <xf numFmtId="1" fontId="0" fillId="0" borderId="0" xfId="0" pivotButton="1" applyNumberFormat="1"/>
    <xf numFmtId="1" fontId="0" fillId="0" borderId="0" xfId="0" applyNumberFormat="1"/>
    <xf numFmtId="0" fontId="0" fillId="33" borderId="0" xfId="0" applyFill="1"/>
    <xf numFmtId="0" fontId="16" fillId="0" borderId="11" xfId="0" applyFont="1" applyBorder="1" applyAlignment="1">
      <alignment horizontal="center"/>
    </xf>
    <xf numFmtId="0" fontId="16" fillId="0" borderId="11" xfId="0" applyFont="1" applyBorder="1" applyAlignment="1">
      <alignment horizontal="center" wrapText="1"/>
    </xf>
    <xf numFmtId="0" fontId="16" fillId="0" borderId="10" xfId="0" applyFont="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0]" xfId="1" builtinId="6"/>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04">
    <dxf>
      <numFmt numFmtId="165" formatCode="0.0"/>
    </dxf>
    <dxf>
      <numFmt numFmtId="1" formatCode="0"/>
    </dxf>
    <dxf>
      <numFmt numFmtId="1" formatCode="0"/>
    </dxf>
    <dxf>
      <numFmt numFmtId="1" formatCode="0"/>
    </dxf>
    <dxf>
      <numFmt numFmtId="2" formatCode="0.00"/>
    </dxf>
    <dxf>
      <numFmt numFmtId="13" formatCode="0%"/>
    </dxf>
    <dxf>
      <numFmt numFmtId="13" formatCode="0%"/>
    </dxf>
    <dxf>
      <numFmt numFmtId="165" formatCode="0.0"/>
    </dxf>
    <dxf>
      <numFmt numFmtId="1" formatCode="0"/>
    </dxf>
    <dxf>
      <numFmt numFmtId="1" formatCode="0"/>
    </dxf>
    <dxf>
      <numFmt numFmtId="1" formatCode="0"/>
    </dxf>
    <dxf>
      <numFmt numFmtId="2" formatCode="0.00"/>
    </dxf>
    <dxf>
      <numFmt numFmtId="13" formatCode="0%"/>
    </dxf>
    <dxf>
      <numFmt numFmtId="13" formatCode="0%"/>
    </dxf>
    <dxf>
      <numFmt numFmtId="165" formatCode="0.0"/>
    </dxf>
    <dxf>
      <numFmt numFmtId="1" formatCode="0"/>
    </dxf>
    <dxf>
      <numFmt numFmtId="1" formatCode="0"/>
    </dxf>
    <dxf>
      <numFmt numFmtId="1" formatCode="0"/>
    </dxf>
    <dxf>
      <numFmt numFmtId="2" formatCode="0.00"/>
    </dxf>
    <dxf>
      <numFmt numFmtId="13" formatCode="0%"/>
    </dxf>
    <dxf>
      <numFmt numFmtId="13" formatCode="0%"/>
    </dxf>
    <dxf>
      <numFmt numFmtId="165" formatCode="0.0"/>
    </dxf>
    <dxf>
      <numFmt numFmtId="1" formatCode="0"/>
    </dxf>
    <dxf>
      <numFmt numFmtId="1" formatCode="0"/>
    </dxf>
    <dxf>
      <numFmt numFmtId="1" formatCode="0"/>
    </dxf>
    <dxf>
      <numFmt numFmtId="2" formatCode="0.00"/>
    </dxf>
    <dxf>
      <numFmt numFmtId="13" formatCode="0%"/>
    </dxf>
    <dxf>
      <numFmt numFmtId="13" formatCode="0%"/>
    </dxf>
    <dxf>
      <numFmt numFmtId="165" formatCode="0.0"/>
    </dxf>
    <dxf>
      <numFmt numFmtId="1" formatCode="0"/>
    </dxf>
    <dxf>
      <numFmt numFmtId="1" formatCode="0"/>
    </dxf>
    <dxf>
      <numFmt numFmtId="1" formatCode="0"/>
    </dxf>
    <dxf>
      <numFmt numFmtId="2" formatCode="0.00"/>
    </dxf>
    <dxf>
      <numFmt numFmtId="13" formatCode="0%"/>
    </dxf>
    <dxf>
      <numFmt numFmtId="13" formatCode="0%"/>
    </dxf>
    <dxf>
      <numFmt numFmtId="165" formatCode="0.0"/>
    </dxf>
    <dxf>
      <numFmt numFmtId="1" formatCode="0"/>
    </dxf>
    <dxf>
      <numFmt numFmtId="1" formatCode="0"/>
    </dxf>
    <dxf>
      <numFmt numFmtId="1" formatCode="0"/>
    </dxf>
    <dxf>
      <numFmt numFmtId="2" formatCode="0.00"/>
    </dxf>
    <dxf>
      <numFmt numFmtId="13" formatCode="0%"/>
    </dxf>
    <dxf>
      <numFmt numFmtId="13" formatCode="0%"/>
    </dxf>
    <dxf>
      <numFmt numFmtId="2" formatCode="0.00"/>
    </dxf>
    <dxf>
      <numFmt numFmtId="13" formatCode="0%"/>
    </dxf>
    <dxf>
      <numFmt numFmtId="13" formatCode="0%"/>
    </dxf>
    <dxf>
      <numFmt numFmtId="165" formatCode="0.0"/>
    </dxf>
    <dxf>
      <numFmt numFmtId="1" formatCode="0"/>
    </dxf>
    <dxf>
      <numFmt numFmtId="1" formatCode="0"/>
    </dxf>
    <dxf>
      <numFmt numFmtId="1" formatCode="0"/>
    </dxf>
    <dxf>
      <numFmt numFmtId="2" formatCode="0.00"/>
    </dxf>
    <dxf>
      <numFmt numFmtId="13" formatCode="0%"/>
    </dxf>
    <dxf>
      <numFmt numFmtId="13"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2" formatCode="0.00"/>
    </dxf>
    <dxf>
      <numFmt numFmtId="13" formatCode="0%"/>
    </dxf>
    <dxf>
      <numFmt numFmtId="13" formatCode="0%"/>
    </dxf>
    <dxf>
      <numFmt numFmtId="165" formatCode="0.0"/>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2" formatCode="0.00"/>
    </dxf>
    <dxf>
      <numFmt numFmtId="13" formatCode="0%"/>
    </dxf>
    <dxf>
      <numFmt numFmtId="13" formatCode="0%"/>
    </dxf>
    <dxf>
      <numFmt numFmtId="165" formatCode="0.0"/>
    </dxf>
    <dxf>
      <numFmt numFmtId="1" formatCode="0"/>
    </dxf>
    <dxf>
      <numFmt numFmtId="1" formatCode="0"/>
    </dxf>
    <dxf>
      <numFmt numFmtId="1" formatCode="0"/>
    </dxf>
    <dxf>
      <numFmt numFmtId="2" formatCode="0.00"/>
    </dxf>
    <dxf>
      <numFmt numFmtId="13" formatCode="0%"/>
    </dxf>
    <dxf>
      <numFmt numFmtId="13" formatCode="0%"/>
    </dxf>
    <dxf>
      <numFmt numFmtId="165" formatCode="0.0"/>
    </dxf>
    <dxf>
      <numFmt numFmtId="1" formatCode="0"/>
    </dxf>
    <dxf>
      <numFmt numFmtId="1" formatCode="0"/>
    </dxf>
    <dxf>
      <numFmt numFmtId="1" formatCode="0"/>
    </dxf>
    <dxf>
      <numFmt numFmtId="2" formatCode="0.00"/>
    </dxf>
    <dxf>
      <numFmt numFmtId="13" formatCode="0%"/>
    </dxf>
    <dxf>
      <numFmt numFmtId="13" formatCode="0%"/>
    </dxf>
    <dxf>
      <numFmt numFmtId="165" formatCode="0.0"/>
    </dxf>
    <dxf>
      <numFmt numFmtId="1" formatCode="0"/>
    </dxf>
    <dxf>
      <numFmt numFmtId="1" formatCode="0"/>
    </dxf>
    <dxf>
      <numFmt numFmtId="1" formatCode="0"/>
    </dxf>
    <dxf>
      <numFmt numFmtId="2" formatCode="0.00"/>
    </dxf>
    <dxf>
      <numFmt numFmtId="13" formatCode="0%"/>
    </dxf>
    <dxf>
      <numFmt numFmtId="13" formatCode="0%"/>
    </dxf>
    <dxf>
      <font>
        <color rgb="FF9C0006"/>
      </font>
      <fill>
        <patternFill>
          <bgColor rgb="FFFFC7CE"/>
        </patternFill>
      </fill>
    </dxf>
    <dxf>
      <font>
        <color rgb="FF9C0006"/>
      </font>
      <fill>
        <patternFill>
          <bgColor rgb="FFFFC7CE"/>
        </patternFill>
      </fill>
    </dxf>
    <dxf>
      <numFmt numFmtId="1" formatCode="0"/>
    </dxf>
    <dxf>
      <numFmt numFmtId="1" formatCode="0"/>
    </dxf>
    <dxf>
      <numFmt numFmtId="1" formatCode="0"/>
    </dxf>
    <dxf>
      <numFmt numFmtId="165" formatCode="0.0"/>
    </dxf>
    <dxf>
      <numFmt numFmtId="13" formatCode="0%"/>
    </dxf>
    <dxf>
      <numFmt numFmtId="13"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[Excel_jumia_dataset.xlsx]Top_10_Ratings!PivotTable1</c:name>
    <c:fmtId val="1"/>
  </c:pivotSource>
  <c:chart>
    <c:title>
      <c:tx>
        <c:rich>
          <a:bodyPr rot="0" spcFirstLastPara="1" vertOverflow="ellipsis" vert="horz" wrap="square" anchor="ctr" anchorCtr="1"/>
          <a:lstStyle/>
          <a:p>
            <a:pPr>
              <a:defRPr sz="1600" b="0" i="0" u="none" strike="noStrike" kern="1200" spc="0" baseline="0">
                <a:solidFill>
                  <a:schemeClr val="accent1">
                    <a:lumMod val="75000"/>
                  </a:schemeClr>
                </a:solidFill>
                <a:latin typeface="+mn-lt"/>
                <a:ea typeface="+mn-ea"/>
                <a:cs typeface="+mn-cs"/>
              </a:defRPr>
            </a:pPr>
            <a:r>
              <a:rPr lang="en-US" sz="1600">
                <a:solidFill>
                  <a:schemeClr val="accent1">
                    <a:lumMod val="75000"/>
                  </a:schemeClr>
                </a:solidFill>
              </a:rPr>
              <a:t>Top 10 Products</a:t>
            </a:r>
            <a:r>
              <a:rPr lang="en-US" sz="1600" baseline="0">
                <a:solidFill>
                  <a:schemeClr val="accent1">
                    <a:lumMod val="75000"/>
                  </a:schemeClr>
                </a:solidFill>
              </a:rPr>
              <a:t> by Ratings</a:t>
            </a:r>
            <a:endParaRPr lang="en-US" sz="1600">
              <a:solidFill>
                <a:schemeClr val="accent1">
                  <a:lumMod val="75000"/>
                </a:schemeClr>
              </a:solidFill>
            </a:endParaRPr>
          </a:p>
        </c:rich>
      </c:tx>
      <c:layout>
        <c:manualLayout>
          <c:xMode val="edge"/>
          <c:yMode val="edge"/>
          <c:x val="0.37135362956726309"/>
          <c:y val="3.601633129192184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1">
                  <a:lumMod val="75000"/>
                </a:schemeClr>
              </a:solidFill>
              <a:latin typeface="+mn-lt"/>
              <a:ea typeface="+mn-ea"/>
              <a:cs typeface="+mn-cs"/>
            </a:defRPr>
          </a:pPr>
          <a:endParaRPr lang="en-UG"/>
        </a:p>
      </c:txPr>
    </c:title>
    <c:autoTitleDeleted val="0"/>
    <c:pivotFmts>
      <c:pivotFmt>
        <c:idx val="0"/>
        <c:spPr>
          <a:solidFill>
            <a:schemeClr val="accent6"/>
          </a:solidFill>
          <a:ln>
            <a:noFill/>
          </a:ln>
          <a:effectLst/>
        </c:spPr>
        <c:marker>
          <c:symbol val="none"/>
        </c:marker>
      </c:pivotFmt>
    </c:pivotFmts>
    <c:plotArea>
      <c:layout>
        <c:manualLayout>
          <c:layoutTarget val="inner"/>
          <c:xMode val="edge"/>
          <c:yMode val="edge"/>
          <c:x val="0.54170187789764024"/>
          <c:y val="0.14958114610673667"/>
          <c:w val="0.41405598682110101"/>
          <c:h val="0.74301946631671045"/>
        </c:manualLayout>
      </c:layout>
      <c:barChart>
        <c:barDir val="bar"/>
        <c:grouping val="clustered"/>
        <c:varyColors val="0"/>
        <c:ser>
          <c:idx val="0"/>
          <c:order val="0"/>
          <c:tx>
            <c:strRef>
              <c:f>Top_10_Ratings!$B$3</c:f>
              <c:strCache>
                <c:ptCount val="1"/>
                <c:pt idx="0">
                  <c:v>Total</c:v>
                </c:pt>
              </c:strCache>
            </c:strRef>
          </c:tx>
          <c:spPr>
            <a:solidFill>
              <a:schemeClr val="accent6"/>
            </a:solidFill>
            <a:ln>
              <a:noFill/>
            </a:ln>
            <a:effectLst/>
          </c:spPr>
          <c:invertIfNegative val="0"/>
          <c:cat>
            <c:strRef>
              <c:f>Top_10_Ratings!$A$4:$A$14</c:f>
              <c:strCache>
                <c:ptCount val="10"/>
                <c:pt idx="0">
                  <c:v>40cm Gold DIY Acrylic Wall Sticker Clock</c:v>
                </c:pt>
                <c:pt idx="1">
                  <c:v>Portable Home Small Air Humidifier 3-Speed Fan - Green</c:v>
                </c:pt>
                <c:pt idx="2">
                  <c:v>LASA FOLDING TABLE SERVING STAND</c:v>
                </c:pt>
                <c:pt idx="3">
                  <c:v>DIY File Folder, Office Drawer File Holder, Pen Holder, Desktop Storage Rack</c:v>
                </c:pt>
                <c:pt idx="4">
                  <c:v>LASA Aluminum Folding Truck Hand Cart - 68kg Max</c:v>
                </c:pt>
                <c:pt idx="5">
                  <c:v>Bedroom Simple Floor Hanging Clothes Rack Single Pole Hat Rack - White</c:v>
                </c:pt>
                <c:pt idx="6">
                  <c:v>Konka Healty Electric Kettle, 24-hour Heat Preservation,1.5L,800W, White</c:v>
                </c:pt>
                <c:pt idx="7">
                  <c:v>Peacock  Throw Pillow Cushion Case For Home Car</c:v>
                </c:pt>
                <c:pt idx="8">
                  <c:v>Anti-Skid Absorbent Insulation Coaster  For Home Office</c:v>
                </c:pt>
                <c:pt idx="9">
                  <c:v>Classic Black Cat Cotton Hemp Pillow Case For Home Car</c:v>
                </c:pt>
              </c:strCache>
            </c:strRef>
          </c:cat>
          <c:val>
            <c:numRef>
              <c:f>Top_10_Ratings!$B$4:$B$14</c:f>
              <c:numCache>
                <c:formatCode>General</c:formatCode>
                <c:ptCount val="10"/>
                <c:pt idx="0">
                  <c:v>4.8</c:v>
                </c:pt>
                <c:pt idx="1">
                  <c:v>4.8</c:v>
                </c:pt>
                <c:pt idx="2">
                  <c:v>4.8</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00-6CDB-47E1-9892-9C8FF3DCF780}"/>
            </c:ext>
          </c:extLst>
        </c:ser>
        <c:dLbls>
          <c:showLegendKey val="0"/>
          <c:showVal val="0"/>
          <c:showCatName val="0"/>
          <c:showSerName val="0"/>
          <c:showPercent val="0"/>
          <c:showBubbleSize val="0"/>
        </c:dLbls>
        <c:gapWidth val="219"/>
        <c:axId val="521181400"/>
        <c:axId val="521185336"/>
      </c:barChart>
      <c:catAx>
        <c:axId val="521181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21185336"/>
        <c:crosses val="autoZero"/>
        <c:auto val="1"/>
        <c:lblAlgn val="ctr"/>
        <c:lblOffset val="100"/>
        <c:noMultiLvlLbl val="0"/>
      </c:catAx>
      <c:valAx>
        <c:axId val="521185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21181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3175" cap="flat" cmpd="sng" algn="ctr">
      <a:solidFill>
        <a:schemeClr val="tx1"/>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[Excel_jumia_dataset.xlsx]Top_10_Review!PivotTable2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Review</a:t>
            </a:r>
            <a:endParaRPr lang="en-US"/>
          </a:p>
        </c:rich>
      </c:tx>
      <c:layout>
        <c:manualLayout>
          <c:xMode val="edge"/>
          <c:yMode val="edge"/>
          <c:x val="0.35777517172055623"/>
          <c:y val="8.2385535141440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2"/>
          </a:solidFill>
          <a:ln>
            <a:noFill/>
          </a:ln>
          <a:effectLst/>
        </c:spPr>
        <c:marker>
          <c:symbol val="none"/>
        </c:marker>
      </c:pivotFmt>
    </c:pivotFmts>
    <c:plotArea>
      <c:layout>
        <c:manualLayout>
          <c:layoutTarget val="inner"/>
          <c:xMode val="edge"/>
          <c:yMode val="edge"/>
          <c:x val="0.55840244969378827"/>
          <c:y val="0.13828484981044034"/>
          <c:w val="0.39837532808398951"/>
          <c:h val="0.7543157626130067"/>
        </c:manualLayout>
      </c:layout>
      <c:barChart>
        <c:barDir val="bar"/>
        <c:grouping val="clustered"/>
        <c:varyColors val="0"/>
        <c:ser>
          <c:idx val="0"/>
          <c:order val="0"/>
          <c:tx>
            <c:strRef>
              <c:f>Top_10_Review!$B$3</c:f>
              <c:strCache>
                <c:ptCount val="1"/>
                <c:pt idx="0">
                  <c:v>Total</c:v>
                </c:pt>
              </c:strCache>
            </c:strRef>
          </c:tx>
          <c:spPr>
            <a:solidFill>
              <a:schemeClr val="accent2"/>
            </a:solidFill>
            <a:ln>
              <a:noFill/>
            </a:ln>
            <a:effectLst/>
          </c:spPr>
          <c:invertIfNegative val="0"/>
          <c:cat>
            <c:strRef>
              <c:f>Top_10_Review!$A$4:$A$14</c:f>
              <c:strCache>
                <c:ptCount val="10"/>
                <c:pt idx="0">
                  <c:v>52 Pieces Cake Decorating Tool Set Gift Kit Baking Supplies</c:v>
                </c:pt>
                <c:pt idx="1">
                  <c:v>53Pcs/Set Yarn Knitting Crochet Hooks With Bag - Fortune Cat</c:v>
                </c:pt>
                <c:pt idx="2">
                  <c:v>Portable Mini Cordless Car Vacuum Cleaner - Blue</c:v>
                </c:pt>
                <c:pt idx="3">
                  <c:v>53 Pieces/Set Yarn Knitting Crochet Hooks With Bag - Pansies</c:v>
                </c:pt>
                <c:pt idx="4">
                  <c:v>Punch-free Great Load Bearing Bathroom Storage Rack Wall Shelf-White</c:v>
                </c:pt>
                <c:pt idx="5">
                  <c:v>100 Pcs Crochet Hook Tool Set Knitting Hook Set With Box</c:v>
                </c:pt>
                <c:pt idx="6">
                  <c:v>3D Waterproof EVA Plastic Shower Curtain 1.8*2Mtrs</c:v>
                </c:pt>
                <c:pt idx="7">
                  <c:v>Electronic Digital Display Vernier Caliper</c:v>
                </c:pt>
                <c:pt idx="8">
                  <c:v>137 Pieces Cake Decorating Tool Set Baking Supplies</c:v>
                </c:pt>
                <c:pt idx="9">
                  <c:v>120W Cordless Vacuum Cleaners Handheld Electric Vacuum Cleaner</c:v>
                </c:pt>
              </c:strCache>
            </c:strRef>
          </c:cat>
          <c:val>
            <c:numRef>
              <c:f>Top_10_Review!$B$4:$B$14</c:f>
              <c:numCache>
                <c:formatCode>General</c:formatCode>
                <c:ptCount val="10"/>
                <c:pt idx="0">
                  <c:v>20</c:v>
                </c:pt>
                <c:pt idx="1">
                  <c:v>20</c:v>
                </c:pt>
                <c:pt idx="2">
                  <c:v>24</c:v>
                </c:pt>
                <c:pt idx="3">
                  <c:v>32</c:v>
                </c:pt>
                <c:pt idx="4">
                  <c:v>36</c:v>
                </c:pt>
                <c:pt idx="5">
                  <c:v>39</c:v>
                </c:pt>
                <c:pt idx="6">
                  <c:v>44</c:v>
                </c:pt>
                <c:pt idx="7">
                  <c:v>49</c:v>
                </c:pt>
                <c:pt idx="8">
                  <c:v>55</c:v>
                </c:pt>
                <c:pt idx="9">
                  <c:v>69</c:v>
                </c:pt>
              </c:numCache>
            </c:numRef>
          </c:val>
          <c:extLst>
            <c:ext xmlns:c16="http://schemas.microsoft.com/office/drawing/2014/chart" uri="{C3380CC4-5D6E-409C-BE32-E72D297353CC}">
              <c16:uniqueId val="{00000000-61D7-4B5F-A19C-C8FC1FC3374B}"/>
            </c:ext>
          </c:extLst>
        </c:ser>
        <c:dLbls>
          <c:showLegendKey val="0"/>
          <c:showVal val="0"/>
          <c:showCatName val="0"/>
          <c:showSerName val="0"/>
          <c:showPercent val="0"/>
          <c:showBubbleSize val="0"/>
        </c:dLbls>
        <c:gapWidth val="150"/>
        <c:axId val="404719384"/>
        <c:axId val="404722992"/>
      </c:barChart>
      <c:catAx>
        <c:axId val="404719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04722992"/>
        <c:crosses val="autoZero"/>
        <c:auto val="1"/>
        <c:lblAlgn val="ctr"/>
        <c:lblOffset val="100"/>
        <c:noMultiLvlLbl val="0"/>
      </c:catAx>
      <c:valAx>
        <c:axId val="404722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04719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3175" cap="flat" cmpd="sng" algn="ctr">
      <a:solidFill>
        <a:schemeClr val="accent3">
          <a:lumMod val="60000"/>
          <a:lumOff val="40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[Excel_jumia_dataset.xlsx]Top_10_Discount!PivotTable3</c:name>
    <c:fmtId val="0"/>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Top</a:t>
            </a:r>
            <a:r>
              <a:rPr lang="en-US" b="1" baseline="0">
                <a:solidFill>
                  <a:schemeClr val="accent1">
                    <a:lumMod val="75000"/>
                  </a:schemeClr>
                </a:solidFill>
              </a:rPr>
              <a:t> 10 Products by Discount</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Top_10_Discount!$B$3</c:f>
              <c:strCache>
                <c:ptCount val="1"/>
                <c:pt idx="0">
                  <c:v>Total</c:v>
                </c:pt>
              </c:strCache>
            </c:strRef>
          </c:tx>
          <c:spPr>
            <a:solidFill>
              <a:schemeClr val="accent1"/>
            </a:solidFill>
            <a:ln>
              <a:noFill/>
            </a:ln>
            <a:effectLst/>
          </c:spPr>
          <c:invertIfNegative val="0"/>
          <c:cat>
            <c:strRef>
              <c:f>Top_10_Discount!$A$4:$A$14</c:f>
              <c:strCache>
                <c:ptCount val="10"/>
                <c:pt idx="0">
                  <c:v>Classic Black Cat Cotton Hemp Pillow Case For Home Car</c:v>
                </c:pt>
                <c:pt idx="1">
                  <c:v>3PCS Single Head Knitting Crochet Sweater Needle Set</c:v>
                </c:pt>
                <c:pt idx="2">
                  <c:v>Mythco 120COB Solar Wall Ligt With Motion Sensor And Remote Control 3 Modes</c:v>
                </c:pt>
                <c:pt idx="3">
                  <c:v>LASA 3 Tier Bamboo Shoe Bench Storage Shelf</c:v>
                </c:pt>
                <c:pt idx="4">
                  <c:v>5-PCS Stainless Steel Cooking Pot Set With Steamed Slices</c:v>
                </c:pt>
                <c:pt idx="5">
                  <c:v>LASA FOLDING TABLE SERVING STAND</c:v>
                </c:pt>
                <c:pt idx="6">
                  <c:v>6 In 1 Bottle Can Opener Multifunctional Easy Opener</c:v>
                </c:pt>
                <c:pt idx="7">
                  <c:v>Angle Measuring Tool Full Metal Multi Angle Measuring Tool</c:v>
                </c:pt>
                <c:pt idx="8">
                  <c:v>Simple Metal Dog Art Sculpture Decoration For Home Office</c:v>
                </c:pt>
                <c:pt idx="9">
                  <c:v>Creative Owl Shape Keychain Black</c:v>
                </c:pt>
              </c:strCache>
            </c:strRef>
          </c:cat>
          <c:val>
            <c:numRef>
              <c:f>Top_10_Discount!$B$4:$B$14</c:f>
              <c:numCache>
                <c:formatCode>General</c:formatCode>
                <c:ptCount val="10"/>
                <c:pt idx="0">
                  <c:v>0.53</c:v>
                </c:pt>
                <c:pt idx="1">
                  <c:v>0.53</c:v>
                </c:pt>
                <c:pt idx="2">
                  <c:v>0.54</c:v>
                </c:pt>
                <c:pt idx="3">
                  <c:v>0.54</c:v>
                </c:pt>
                <c:pt idx="4">
                  <c:v>0.55000000000000004</c:v>
                </c:pt>
                <c:pt idx="5">
                  <c:v>0.55000000000000004</c:v>
                </c:pt>
                <c:pt idx="6">
                  <c:v>0.64</c:v>
                </c:pt>
                <c:pt idx="7">
                  <c:v>0.98</c:v>
                </c:pt>
                <c:pt idx="8">
                  <c:v>1</c:v>
                </c:pt>
                <c:pt idx="9">
                  <c:v>1.1000000000000001</c:v>
                </c:pt>
              </c:numCache>
            </c:numRef>
          </c:val>
          <c:extLst>
            <c:ext xmlns:c16="http://schemas.microsoft.com/office/drawing/2014/chart" uri="{C3380CC4-5D6E-409C-BE32-E72D297353CC}">
              <c16:uniqueId val="{00000000-2CC5-4DA8-AE9D-BB9F037B098B}"/>
            </c:ext>
          </c:extLst>
        </c:ser>
        <c:dLbls>
          <c:showLegendKey val="0"/>
          <c:showVal val="0"/>
          <c:showCatName val="0"/>
          <c:showSerName val="0"/>
          <c:showPercent val="0"/>
          <c:showBubbleSize val="0"/>
        </c:dLbls>
        <c:gapWidth val="219"/>
        <c:axId val="528880768"/>
        <c:axId val="528889624"/>
      </c:barChart>
      <c:catAx>
        <c:axId val="52888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28889624"/>
        <c:crosses val="autoZero"/>
        <c:auto val="1"/>
        <c:lblAlgn val="ctr"/>
        <c:lblOffset val="100"/>
        <c:noMultiLvlLbl val="0"/>
      </c:catAx>
      <c:valAx>
        <c:axId val="528889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2888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3175" cap="flat" cmpd="sng" algn="ctr">
      <a:solidFill>
        <a:schemeClr val="accent3">
          <a:lumMod val="40000"/>
          <a:lumOff val="60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[Excel_jumia_dataset.xlsx]products_by_rating_category!PivotTable5</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 breakdown of Product</a:t>
            </a:r>
            <a:r>
              <a:rPr lang="en-US" b="1" baseline="0">
                <a:solidFill>
                  <a:schemeClr val="tx1"/>
                </a:solidFill>
              </a:rPr>
              <a:t> by rating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G"/>
        </a:p>
      </c:txPr>
    </c:title>
    <c:autoTitleDeleted val="0"/>
    <c:pivotFmts>
      <c:pivotFmt>
        <c:idx val="0"/>
        <c:spPr>
          <a:solidFill>
            <a:schemeClr val="accent2"/>
          </a:solidFill>
          <a:ln>
            <a:noFill/>
          </a:ln>
          <a:effectLst/>
        </c:spPr>
        <c:marker>
          <c:symbol val="none"/>
        </c:marker>
      </c:pivotFmt>
    </c:pivotFmts>
    <c:plotArea>
      <c:layout/>
      <c:barChart>
        <c:barDir val="col"/>
        <c:grouping val="clustered"/>
        <c:varyColors val="0"/>
        <c:ser>
          <c:idx val="0"/>
          <c:order val="0"/>
          <c:tx>
            <c:strRef>
              <c:f>products_by_rating_category!$B$3</c:f>
              <c:strCache>
                <c:ptCount val="1"/>
                <c:pt idx="0">
                  <c:v>Total</c:v>
                </c:pt>
              </c:strCache>
            </c:strRef>
          </c:tx>
          <c:spPr>
            <a:solidFill>
              <a:schemeClr val="accent2"/>
            </a:solidFill>
            <a:ln>
              <a:noFill/>
            </a:ln>
            <a:effectLst/>
          </c:spPr>
          <c:invertIfNegative val="0"/>
          <c:cat>
            <c:strRef>
              <c:f>products_by_rating_category!$A$4:$A$8</c:f>
              <c:strCache>
                <c:ptCount val="4"/>
                <c:pt idx="0">
                  <c:v>Average</c:v>
                </c:pt>
                <c:pt idx="1">
                  <c:v>Excellent</c:v>
                </c:pt>
                <c:pt idx="2">
                  <c:v>Poor</c:v>
                </c:pt>
                <c:pt idx="3">
                  <c:v>No rating</c:v>
                </c:pt>
              </c:strCache>
            </c:strRef>
          </c:cat>
          <c:val>
            <c:numRef>
              <c:f>products_by_rating_category!$B$4:$B$8</c:f>
              <c:numCache>
                <c:formatCode>General</c:formatCode>
                <c:ptCount val="4"/>
                <c:pt idx="0">
                  <c:v>21</c:v>
                </c:pt>
                <c:pt idx="1">
                  <c:v>23</c:v>
                </c:pt>
                <c:pt idx="2">
                  <c:v>15</c:v>
                </c:pt>
                <c:pt idx="3">
                  <c:v>53</c:v>
                </c:pt>
              </c:numCache>
            </c:numRef>
          </c:val>
          <c:extLst>
            <c:ext xmlns:c16="http://schemas.microsoft.com/office/drawing/2014/chart" uri="{C3380CC4-5D6E-409C-BE32-E72D297353CC}">
              <c16:uniqueId val="{00000000-DE6B-4C2A-A38D-7727B91473EC}"/>
            </c:ext>
          </c:extLst>
        </c:ser>
        <c:dLbls>
          <c:showLegendKey val="0"/>
          <c:showVal val="0"/>
          <c:showCatName val="0"/>
          <c:showSerName val="0"/>
          <c:showPercent val="0"/>
          <c:showBubbleSize val="0"/>
        </c:dLbls>
        <c:gapWidth val="219"/>
        <c:overlap val="-27"/>
        <c:axId val="414530072"/>
        <c:axId val="414531712"/>
      </c:barChart>
      <c:catAx>
        <c:axId val="414530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14531712"/>
        <c:crosses val="autoZero"/>
        <c:auto val="1"/>
        <c:lblAlgn val="ctr"/>
        <c:lblOffset val="100"/>
        <c:noMultiLvlLbl val="0"/>
      </c:catAx>
      <c:valAx>
        <c:axId val="414531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14530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[Excel_jumia_dataset.xlsx]Products_by_discount!PivotTable2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a:t>
            </a:r>
            <a:r>
              <a:rPr lang="en-US" b="1" baseline="0">
                <a:solidFill>
                  <a:schemeClr val="tx1"/>
                </a:solidFill>
              </a:rPr>
              <a:t> breakdown of Products by Product Discount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Products_by_discount!$B$3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Products_by_discount!$A$4:$A$7</c:f>
              <c:strCache>
                <c:ptCount val="3"/>
                <c:pt idx="0">
                  <c:v>High Discount</c:v>
                </c:pt>
                <c:pt idx="1">
                  <c:v>Low Discount</c:v>
                </c:pt>
                <c:pt idx="2">
                  <c:v>Medium Discount</c:v>
                </c:pt>
              </c:strCache>
            </c:strRef>
          </c:cat>
          <c:val>
            <c:numRef>
              <c:f>Products_by_discount!$B$4:$B$7</c:f>
              <c:numCache>
                <c:formatCode>General</c:formatCode>
                <c:ptCount val="3"/>
                <c:pt idx="0">
                  <c:v>62</c:v>
                </c:pt>
                <c:pt idx="1">
                  <c:v>18</c:v>
                </c:pt>
                <c:pt idx="2">
                  <c:v>32</c:v>
                </c:pt>
              </c:numCache>
            </c:numRef>
          </c:val>
          <c:extLst>
            <c:ext xmlns:c16="http://schemas.microsoft.com/office/drawing/2014/chart" uri="{C3380CC4-5D6E-409C-BE32-E72D297353CC}">
              <c16:uniqueId val="{00000000-7CEC-4BCB-B0B5-4F71FBC879DC}"/>
            </c:ext>
          </c:extLst>
        </c:ser>
        <c:dLbls>
          <c:dLblPos val="outEnd"/>
          <c:showLegendKey val="0"/>
          <c:showVal val="1"/>
          <c:showCatName val="0"/>
          <c:showSerName val="0"/>
          <c:showPercent val="0"/>
          <c:showBubbleSize val="0"/>
        </c:dLbls>
        <c:gapWidth val="219"/>
        <c:overlap val="-27"/>
        <c:axId val="514707248"/>
        <c:axId val="514707576"/>
      </c:barChart>
      <c:catAx>
        <c:axId val="51470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G"/>
          </a:p>
        </c:txPr>
        <c:crossAx val="514707576"/>
        <c:crosses val="autoZero"/>
        <c:auto val="1"/>
        <c:lblAlgn val="ctr"/>
        <c:lblOffset val="100"/>
        <c:noMultiLvlLbl val="0"/>
      </c:catAx>
      <c:valAx>
        <c:axId val="514707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14707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r>
              <a:rPr lang="en-US" sz="1000" b="1">
                <a:solidFill>
                  <a:schemeClr val="tx1"/>
                </a:solidFill>
              </a:rPr>
              <a:t>Relationship</a:t>
            </a:r>
            <a:r>
              <a:rPr lang="en-US" sz="1000" b="1" baseline="0">
                <a:solidFill>
                  <a:schemeClr val="tx1"/>
                </a:solidFill>
              </a:rPr>
              <a:t> between discount percentage and number of reviews</a:t>
            </a:r>
            <a:endParaRPr lang="en-US" sz="1000"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G"/>
        </a:p>
      </c:txPr>
    </c:title>
    <c:autoTitleDeleted val="0"/>
    <c:plotArea>
      <c:layout/>
      <c:scatterChart>
        <c:scatterStyle val="lineMarker"/>
        <c:varyColors val="0"/>
        <c:ser>
          <c:idx val="0"/>
          <c:order val="0"/>
          <c:tx>
            <c:strRef>
              <c:f>Excel_jumia_dataset!$H$1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Excel_jumia_dataset!$F$2:$F$113</c:f>
              <c:numCache>
                <c:formatCode>0%</c:formatCode>
                <c:ptCount val="112"/>
                <c:pt idx="0">
                  <c:v>0.61</c:v>
                </c:pt>
                <c:pt idx="1">
                  <c:v>0.45</c:v>
                </c:pt>
                <c:pt idx="2">
                  <c:v>0.49</c:v>
                </c:pt>
                <c:pt idx="3">
                  <c:v>0.55000000000000004</c:v>
                </c:pt>
                <c:pt idx="4">
                  <c:v>0.49</c:v>
                </c:pt>
                <c:pt idx="5">
                  <c:v>0.42</c:v>
                </c:pt>
                <c:pt idx="6">
                  <c:v>0.46</c:v>
                </c:pt>
                <c:pt idx="7">
                  <c:v>0.38</c:v>
                </c:pt>
                <c:pt idx="8">
                  <c:v>0.49</c:v>
                </c:pt>
                <c:pt idx="9">
                  <c:v>0.5</c:v>
                </c:pt>
                <c:pt idx="10">
                  <c:v>0.42</c:v>
                </c:pt>
                <c:pt idx="11">
                  <c:v>0.02</c:v>
                </c:pt>
                <c:pt idx="12">
                  <c:v>0.5</c:v>
                </c:pt>
                <c:pt idx="13">
                  <c:v>0.33</c:v>
                </c:pt>
                <c:pt idx="14">
                  <c:v>0.49</c:v>
                </c:pt>
                <c:pt idx="15">
                  <c:v>0.38</c:v>
                </c:pt>
                <c:pt idx="16">
                  <c:v>0.5</c:v>
                </c:pt>
                <c:pt idx="17">
                  <c:v>0.02</c:v>
                </c:pt>
                <c:pt idx="18">
                  <c:v>0.22</c:v>
                </c:pt>
                <c:pt idx="19">
                  <c:v>0.03</c:v>
                </c:pt>
                <c:pt idx="20">
                  <c:v>0.41</c:v>
                </c:pt>
                <c:pt idx="21">
                  <c:v>0.48</c:v>
                </c:pt>
                <c:pt idx="22">
                  <c:v>0.27</c:v>
                </c:pt>
                <c:pt idx="23">
                  <c:v>0.43</c:v>
                </c:pt>
                <c:pt idx="24">
                  <c:v>0.04</c:v>
                </c:pt>
                <c:pt idx="25">
                  <c:v>0.49</c:v>
                </c:pt>
                <c:pt idx="26">
                  <c:v>0.36</c:v>
                </c:pt>
                <c:pt idx="27">
                  <c:v>0.02</c:v>
                </c:pt>
                <c:pt idx="28">
                  <c:v>0.14000000000000001</c:v>
                </c:pt>
                <c:pt idx="29">
                  <c:v>0.49</c:v>
                </c:pt>
                <c:pt idx="30">
                  <c:v>0.11</c:v>
                </c:pt>
                <c:pt idx="31">
                  <c:v>0.14000000000000001</c:v>
                </c:pt>
                <c:pt idx="32">
                  <c:v>0.43</c:v>
                </c:pt>
                <c:pt idx="33">
                  <c:v>0.5</c:v>
                </c:pt>
                <c:pt idx="34">
                  <c:v>0.48</c:v>
                </c:pt>
                <c:pt idx="35">
                  <c:v>0.48</c:v>
                </c:pt>
                <c:pt idx="36">
                  <c:v>0.47</c:v>
                </c:pt>
                <c:pt idx="37">
                  <c:v>0.5</c:v>
                </c:pt>
                <c:pt idx="38">
                  <c:v>0.08</c:v>
                </c:pt>
                <c:pt idx="39">
                  <c:v>0.02</c:v>
                </c:pt>
                <c:pt idx="40">
                  <c:v>0.49</c:v>
                </c:pt>
                <c:pt idx="41">
                  <c:v>0.04</c:v>
                </c:pt>
                <c:pt idx="42">
                  <c:v>0.49</c:v>
                </c:pt>
                <c:pt idx="43">
                  <c:v>0.42</c:v>
                </c:pt>
                <c:pt idx="44">
                  <c:v>0.41</c:v>
                </c:pt>
                <c:pt idx="45">
                  <c:v>0.01</c:v>
                </c:pt>
                <c:pt idx="46">
                  <c:v>0.24</c:v>
                </c:pt>
                <c:pt idx="47">
                  <c:v>0.34</c:v>
                </c:pt>
                <c:pt idx="48">
                  <c:v>0.34</c:v>
                </c:pt>
                <c:pt idx="49">
                  <c:v>0.02</c:v>
                </c:pt>
                <c:pt idx="50">
                  <c:v>0.02</c:v>
                </c:pt>
                <c:pt idx="51">
                  <c:v>0.64</c:v>
                </c:pt>
                <c:pt idx="52">
                  <c:v>0.47</c:v>
                </c:pt>
                <c:pt idx="53">
                  <c:v>0.47</c:v>
                </c:pt>
                <c:pt idx="54">
                  <c:v>0.09</c:v>
                </c:pt>
                <c:pt idx="55">
                  <c:v>0.37</c:v>
                </c:pt>
                <c:pt idx="56">
                  <c:v>0.45</c:v>
                </c:pt>
                <c:pt idx="57">
                  <c:v>0.2</c:v>
                </c:pt>
                <c:pt idx="58">
                  <c:v>0.33</c:v>
                </c:pt>
                <c:pt idx="59">
                  <c:v>0.53</c:v>
                </c:pt>
                <c:pt idx="60">
                  <c:v>0.35</c:v>
                </c:pt>
                <c:pt idx="61">
                  <c:v>0.23</c:v>
                </c:pt>
                <c:pt idx="62">
                  <c:v>0.54</c:v>
                </c:pt>
                <c:pt idx="63">
                  <c:v>0.18</c:v>
                </c:pt>
                <c:pt idx="64">
                  <c:v>0.32</c:v>
                </c:pt>
                <c:pt idx="65">
                  <c:v>0.3</c:v>
                </c:pt>
                <c:pt idx="66">
                  <c:v>0.52</c:v>
                </c:pt>
                <c:pt idx="67">
                  <c:v>0.48</c:v>
                </c:pt>
                <c:pt idx="68">
                  <c:v>0.41</c:v>
                </c:pt>
                <c:pt idx="69">
                  <c:v>0.54</c:v>
                </c:pt>
                <c:pt idx="70">
                  <c:v>0.39</c:v>
                </c:pt>
                <c:pt idx="71">
                  <c:v>0.43</c:v>
                </c:pt>
                <c:pt idx="72">
                  <c:v>0.46</c:v>
                </c:pt>
                <c:pt idx="73">
                  <c:v>0.49</c:v>
                </c:pt>
                <c:pt idx="74">
                  <c:v>0.38</c:v>
                </c:pt>
                <c:pt idx="75">
                  <c:v>0.25</c:v>
                </c:pt>
                <c:pt idx="76">
                  <c:v>0.37</c:v>
                </c:pt>
                <c:pt idx="77">
                  <c:v>0.26</c:v>
                </c:pt>
                <c:pt idx="78">
                  <c:v>0.24</c:v>
                </c:pt>
                <c:pt idx="79">
                  <c:v>0.55000000000000004</c:v>
                </c:pt>
                <c:pt idx="80">
                  <c:v>0.34</c:v>
                </c:pt>
                <c:pt idx="81">
                  <c:v>0.47</c:v>
                </c:pt>
                <c:pt idx="82">
                  <c:v>0.42</c:v>
                </c:pt>
                <c:pt idx="83">
                  <c:v>0.51</c:v>
                </c:pt>
                <c:pt idx="84">
                  <c:v>0.46</c:v>
                </c:pt>
                <c:pt idx="85">
                  <c:v>0.49</c:v>
                </c:pt>
                <c:pt idx="86">
                  <c:v>0.19</c:v>
                </c:pt>
                <c:pt idx="87">
                  <c:v>0.49</c:v>
                </c:pt>
                <c:pt idx="88">
                  <c:v>0.35</c:v>
                </c:pt>
                <c:pt idx="89">
                  <c:v>0.34</c:v>
                </c:pt>
                <c:pt idx="90">
                  <c:v>0.27</c:v>
                </c:pt>
                <c:pt idx="91">
                  <c:v>0.27</c:v>
                </c:pt>
                <c:pt idx="92">
                  <c:v>0.4</c:v>
                </c:pt>
                <c:pt idx="93">
                  <c:v>0.53</c:v>
                </c:pt>
                <c:pt idx="94">
                  <c:v>0.38</c:v>
                </c:pt>
                <c:pt idx="95">
                  <c:v>0.49</c:v>
                </c:pt>
                <c:pt idx="96">
                  <c:v>0.21</c:v>
                </c:pt>
                <c:pt idx="97">
                  <c:v>0.49</c:v>
                </c:pt>
                <c:pt idx="98">
                  <c:v>0.13</c:v>
                </c:pt>
                <c:pt idx="99">
                  <c:v>0.55000000000000004</c:v>
                </c:pt>
                <c:pt idx="100">
                  <c:v>0.49</c:v>
                </c:pt>
                <c:pt idx="101">
                  <c:v>0.52</c:v>
                </c:pt>
                <c:pt idx="102">
                  <c:v>0.22</c:v>
                </c:pt>
                <c:pt idx="103">
                  <c:v>0.45</c:v>
                </c:pt>
                <c:pt idx="104">
                  <c:v>0.5</c:v>
                </c:pt>
                <c:pt idx="105">
                  <c:v>0.45</c:v>
                </c:pt>
                <c:pt idx="106">
                  <c:v>0.28999999999999998</c:v>
                </c:pt>
                <c:pt idx="107">
                  <c:v>0.43</c:v>
                </c:pt>
                <c:pt idx="108">
                  <c:v>0.47</c:v>
                </c:pt>
                <c:pt idx="109">
                  <c:v>0.47</c:v>
                </c:pt>
                <c:pt idx="110">
                  <c:v>0.47</c:v>
                </c:pt>
                <c:pt idx="111">
                  <c:v>0.5</c:v>
                </c:pt>
              </c:numCache>
            </c:numRef>
          </c:xVal>
          <c:yVal>
            <c:numRef>
              <c:f>Excel_jumia_dataset!$H$2:$H$113</c:f>
              <c:numCache>
                <c:formatCode>General</c:formatCode>
                <c:ptCount val="112"/>
                <c:pt idx="53">
                  <c:v>14</c:v>
                </c:pt>
                <c:pt idx="54">
                  <c:v>15</c:v>
                </c:pt>
                <c:pt idx="55">
                  <c:v>2</c:v>
                </c:pt>
                <c:pt idx="56">
                  <c:v>5</c:v>
                </c:pt>
                <c:pt idx="57">
                  <c:v>12</c:v>
                </c:pt>
                <c:pt idx="58">
                  <c:v>9</c:v>
                </c:pt>
                <c:pt idx="59">
                  <c:v>13</c:v>
                </c:pt>
                <c:pt idx="60">
                  <c:v>6</c:v>
                </c:pt>
                <c:pt idx="61">
                  <c:v>14</c:v>
                </c:pt>
                <c:pt idx="62">
                  <c:v>7</c:v>
                </c:pt>
                <c:pt idx="63">
                  <c:v>12</c:v>
                </c:pt>
                <c:pt idx="64">
                  <c:v>13</c:v>
                </c:pt>
                <c:pt idx="65">
                  <c:v>20</c:v>
                </c:pt>
                <c:pt idx="66">
                  <c:v>9</c:v>
                </c:pt>
                <c:pt idx="67">
                  <c:v>9</c:v>
                </c:pt>
                <c:pt idx="68">
                  <c:v>36</c:v>
                </c:pt>
                <c:pt idx="69">
                  <c:v>10</c:v>
                </c:pt>
                <c:pt idx="70">
                  <c:v>5</c:v>
                </c:pt>
                <c:pt idx="71">
                  <c:v>5</c:v>
                </c:pt>
                <c:pt idx="72">
                  <c:v>1</c:v>
                </c:pt>
                <c:pt idx="73">
                  <c:v>1</c:v>
                </c:pt>
                <c:pt idx="74">
                  <c:v>2</c:v>
                </c:pt>
                <c:pt idx="75">
                  <c:v>24</c:v>
                </c:pt>
                <c:pt idx="76">
                  <c:v>7</c:v>
                </c:pt>
                <c:pt idx="77">
                  <c:v>5</c:v>
                </c:pt>
                <c:pt idx="78">
                  <c:v>55</c:v>
                </c:pt>
                <c:pt idx="79">
                  <c:v>5</c:v>
                </c:pt>
                <c:pt idx="80">
                  <c:v>39</c:v>
                </c:pt>
                <c:pt idx="81">
                  <c:v>12</c:v>
                </c:pt>
                <c:pt idx="82">
                  <c:v>6</c:v>
                </c:pt>
                <c:pt idx="83">
                  <c:v>2</c:v>
                </c:pt>
                <c:pt idx="84">
                  <c:v>2</c:v>
                </c:pt>
                <c:pt idx="85">
                  <c:v>3</c:v>
                </c:pt>
                <c:pt idx="86">
                  <c:v>5</c:v>
                </c:pt>
                <c:pt idx="87">
                  <c:v>44</c:v>
                </c:pt>
                <c:pt idx="88">
                  <c:v>49</c:v>
                </c:pt>
                <c:pt idx="89">
                  <c:v>12</c:v>
                </c:pt>
                <c:pt idx="90">
                  <c:v>20</c:v>
                </c:pt>
                <c:pt idx="91">
                  <c:v>32</c:v>
                </c:pt>
                <c:pt idx="92">
                  <c:v>1</c:v>
                </c:pt>
                <c:pt idx="93">
                  <c:v>2</c:v>
                </c:pt>
                <c:pt idx="94">
                  <c:v>2</c:v>
                </c:pt>
                <c:pt idx="95">
                  <c:v>1</c:v>
                </c:pt>
                <c:pt idx="96">
                  <c:v>1</c:v>
                </c:pt>
                <c:pt idx="98">
                  <c:v>6</c:v>
                </c:pt>
                <c:pt idx="99">
                  <c:v>13</c:v>
                </c:pt>
                <c:pt idx="100">
                  <c:v>69</c:v>
                </c:pt>
                <c:pt idx="101">
                  <c:v>15</c:v>
                </c:pt>
                <c:pt idx="102">
                  <c:v>16</c:v>
                </c:pt>
                <c:pt idx="103">
                  <c:v>6</c:v>
                </c:pt>
                <c:pt idx="104">
                  <c:v>7</c:v>
                </c:pt>
                <c:pt idx="105">
                  <c:v>17</c:v>
                </c:pt>
                <c:pt idx="106">
                  <c:v>5</c:v>
                </c:pt>
                <c:pt idx="107">
                  <c:v>6</c:v>
                </c:pt>
                <c:pt idx="108">
                  <c:v>6</c:v>
                </c:pt>
                <c:pt idx="109">
                  <c:v>7</c:v>
                </c:pt>
                <c:pt idx="111">
                  <c:v>1</c:v>
                </c:pt>
              </c:numCache>
            </c:numRef>
          </c:yVal>
          <c:smooth val="0"/>
          <c:extLst>
            <c:ext xmlns:c16="http://schemas.microsoft.com/office/drawing/2014/chart" uri="{C3380CC4-5D6E-409C-BE32-E72D297353CC}">
              <c16:uniqueId val="{00000000-E5C0-4421-8E0F-4CE2B89263BF}"/>
            </c:ext>
          </c:extLst>
        </c:ser>
        <c:dLbls>
          <c:showLegendKey val="0"/>
          <c:showVal val="0"/>
          <c:showCatName val="0"/>
          <c:showSerName val="0"/>
          <c:showPercent val="0"/>
          <c:showBubbleSize val="0"/>
        </c:dLbls>
        <c:axId val="579268864"/>
        <c:axId val="579269520"/>
      </c:scatterChart>
      <c:valAx>
        <c:axId val="579268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percentage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G"/>
          </a:p>
        </c:txPr>
        <c:crossAx val="579269520"/>
        <c:crosses val="autoZero"/>
        <c:crossBetween val="midCat"/>
      </c:valAx>
      <c:valAx>
        <c:axId val="579269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79268864"/>
        <c:crosses val="autoZero"/>
        <c:crossBetween val="midCat"/>
      </c:valAx>
      <c:spPr>
        <a:noFill/>
        <a:ln>
          <a:noFill/>
        </a:ln>
        <a:effectLst/>
      </c:spPr>
    </c:plotArea>
    <c:plotVisOnly val="1"/>
    <c:dispBlanksAs val="gap"/>
    <c:showDLblsOverMax val="0"/>
  </c:chart>
  <c:spPr>
    <a:solidFill>
      <a:schemeClr val="accent2">
        <a:lumMod val="20000"/>
        <a:lumOff val="80000"/>
      </a:schemeClr>
    </a:solidFill>
    <a:ln w="3175" cap="flat" cmpd="sng" algn="ctr">
      <a:solidFill>
        <a:schemeClr val="bg2">
          <a:lumMod val="75000"/>
        </a:schemeClr>
      </a:solidFill>
      <a:round/>
    </a:ln>
    <a:effectLst/>
  </c:spPr>
  <c:txPr>
    <a:bodyPr/>
    <a:lstStyle/>
    <a:p>
      <a:pPr>
        <a:defRPr/>
      </a:pPr>
      <a:endParaRPr lang="en-U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Relationship between rating and number of reviews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G"/>
        </a:p>
      </c:txPr>
    </c:title>
    <c:autoTitleDeleted val="0"/>
    <c:plotArea>
      <c:layout/>
      <c:scatterChart>
        <c:scatterStyle val="lineMarker"/>
        <c:varyColors val="0"/>
        <c:ser>
          <c:idx val="0"/>
          <c:order val="0"/>
          <c:tx>
            <c:strRef>
              <c:f>Excel_jumia_dataset!$I$1</c:f>
              <c:strCache>
                <c:ptCount val="1"/>
                <c:pt idx="0">
                  <c:v>Ratings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Excel_jumia_dataset!$H$2:$H$113</c:f>
              <c:numCache>
                <c:formatCode>General</c:formatCode>
                <c:ptCount val="112"/>
                <c:pt idx="53">
                  <c:v>14</c:v>
                </c:pt>
                <c:pt idx="54">
                  <c:v>15</c:v>
                </c:pt>
                <c:pt idx="55">
                  <c:v>2</c:v>
                </c:pt>
                <c:pt idx="56">
                  <c:v>5</c:v>
                </c:pt>
                <c:pt idx="57">
                  <c:v>12</c:v>
                </c:pt>
                <c:pt idx="58">
                  <c:v>9</c:v>
                </c:pt>
                <c:pt idx="59">
                  <c:v>13</c:v>
                </c:pt>
                <c:pt idx="60">
                  <c:v>6</c:v>
                </c:pt>
                <c:pt idx="61">
                  <c:v>14</c:v>
                </c:pt>
                <c:pt idx="62">
                  <c:v>7</c:v>
                </c:pt>
                <c:pt idx="63">
                  <c:v>12</c:v>
                </c:pt>
                <c:pt idx="64">
                  <c:v>13</c:v>
                </c:pt>
                <c:pt idx="65">
                  <c:v>20</c:v>
                </c:pt>
                <c:pt idx="66">
                  <c:v>9</c:v>
                </c:pt>
                <c:pt idx="67">
                  <c:v>9</c:v>
                </c:pt>
                <c:pt idx="68">
                  <c:v>36</c:v>
                </c:pt>
                <c:pt idx="69">
                  <c:v>10</c:v>
                </c:pt>
                <c:pt idx="70">
                  <c:v>5</c:v>
                </c:pt>
                <c:pt idx="71">
                  <c:v>5</c:v>
                </c:pt>
                <c:pt idx="72">
                  <c:v>1</c:v>
                </c:pt>
                <c:pt idx="73">
                  <c:v>1</c:v>
                </c:pt>
                <c:pt idx="74">
                  <c:v>2</c:v>
                </c:pt>
                <c:pt idx="75">
                  <c:v>24</c:v>
                </c:pt>
                <c:pt idx="76">
                  <c:v>7</c:v>
                </c:pt>
                <c:pt idx="77">
                  <c:v>5</c:v>
                </c:pt>
                <c:pt idx="78">
                  <c:v>55</c:v>
                </c:pt>
                <c:pt idx="79">
                  <c:v>5</c:v>
                </c:pt>
                <c:pt idx="80">
                  <c:v>39</c:v>
                </c:pt>
                <c:pt idx="81">
                  <c:v>12</c:v>
                </c:pt>
                <c:pt idx="82">
                  <c:v>6</c:v>
                </c:pt>
                <c:pt idx="83">
                  <c:v>2</c:v>
                </c:pt>
                <c:pt idx="84">
                  <c:v>2</c:v>
                </c:pt>
                <c:pt idx="85">
                  <c:v>3</c:v>
                </c:pt>
                <c:pt idx="86">
                  <c:v>5</c:v>
                </c:pt>
                <c:pt idx="87">
                  <c:v>44</c:v>
                </c:pt>
                <c:pt idx="88">
                  <c:v>49</c:v>
                </c:pt>
                <c:pt idx="89">
                  <c:v>12</c:v>
                </c:pt>
                <c:pt idx="90">
                  <c:v>20</c:v>
                </c:pt>
                <c:pt idx="91">
                  <c:v>32</c:v>
                </c:pt>
                <c:pt idx="92">
                  <c:v>1</c:v>
                </c:pt>
                <c:pt idx="93">
                  <c:v>2</c:v>
                </c:pt>
                <c:pt idx="94">
                  <c:v>2</c:v>
                </c:pt>
                <c:pt idx="95">
                  <c:v>1</c:v>
                </c:pt>
                <c:pt idx="96">
                  <c:v>1</c:v>
                </c:pt>
                <c:pt idx="98">
                  <c:v>6</c:v>
                </c:pt>
                <c:pt idx="99">
                  <c:v>13</c:v>
                </c:pt>
                <c:pt idx="100">
                  <c:v>69</c:v>
                </c:pt>
                <c:pt idx="101">
                  <c:v>15</c:v>
                </c:pt>
                <c:pt idx="102">
                  <c:v>16</c:v>
                </c:pt>
                <c:pt idx="103">
                  <c:v>6</c:v>
                </c:pt>
                <c:pt idx="104">
                  <c:v>7</c:v>
                </c:pt>
                <c:pt idx="105">
                  <c:v>17</c:v>
                </c:pt>
                <c:pt idx="106">
                  <c:v>5</c:v>
                </c:pt>
                <c:pt idx="107">
                  <c:v>6</c:v>
                </c:pt>
                <c:pt idx="108">
                  <c:v>6</c:v>
                </c:pt>
                <c:pt idx="109">
                  <c:v>7</c:v>
                </c:pt>
                <c:pt idx="111">
                  <c:v>1</c:v>
                </c:pt>
              </c:numCache>
            </c:numRef>
          </c:xVal>
          <c:yVal>
            <c:numRef>
              <c:f>Excel_jumia_dataset!$I$2:$I$113</c:f>
              <c:numCache>
                <c:formatCode>General</c:formatCode>
                <c:ptCount val="112"/>
                <c:pt idx="53">
                  <c:v>4.0999999999999996</c:v>
                </c:pt>
                <c:pt idx="54">
                  <c:v>4</c:v>
                </c:pt>
                <c:pt idx="55">
                  <c:v>4</c:v>
                </c:pt>
                <c:pt idx="56">
                  <c:v>3.8</c:v>
                </c:pt>
                <c:pt idx="57">
                  <c:v>4.0999999999999996</c:v>
                </c:pt>
                <c:pt idx="58">
                  <c:v>4.2</c:v>
                </c:pt>
                <c:pt idx="59">
                  <c:v>3.3</c:v>
                </c:pt>
                <c:pt idx="60">
                  <c:v>4</c:v>
                </c:pt>
                <c:pt idx="61">
                  <c:v>4.4000000000000004</c:v>
                </c:pt>
                <c:pt idx="62">
                  <c:v>3.3</c:v>
                </c:pt>
                <c:pt idx="63">
                  <c:v>3.8</c:v>
                </c:pt>
                <c:pt idx="64">
                  <c:v>3.8</c:v>
                </c:pt>
                <c:pt idx="65">
                  <c:v>4.0999999999999996</c:v>
                </c:pt>
                <c:pt idx="66">
                  <c:v>3.3</c:v>
                </c:pt>
                <c:pt idx="67">
                  <c:v>3.3</c:v>
                </c:pt>
                <c:pt idx="68">
                  <c:v>3.3</c:v>
                </c:pt>
                <c:pt idx="69">
                  <c:v>3</c:v>
                </c:pt>
                <c:pt idx="70">
                  <c:v>3</c:v>
                </c:pt>
                <c:pt idx="71">
                  <c:v>3</c:v>
                </c:pt>
                <c:pt idx="72">
                  <c:v>3</c:v>
                </c:pt>
                <c:pt idx="73">
                  <c:v>4</c:v>
                </c:pt>
                <c:pt idx="74">
                  <c:v>4.5</c:v>
                </c:pt>
                <c:pt idx="75">
                  <c:v>4.5999999999999996</c:v>
                </c:pt>
                <c:pt idx="76">
                  <c:v>4.7</c:v>
                </c:pt>
                <c:pt idx="77">
                  <c:v>4.8</c:v>
                </c:pt>
                <c:pt idx="78">
                  <c:v>4.5999999999999996</c:v>
                </c:pt>
                <c:pt idx="79">
                  <c:v>4.8</c:v>
                </c:pt>
                <c:pt idx="80">
                  <c:v>4.7</c:v>
                </c:pt>
                <c:pt idx="81">
                  <c:v>4.8</c:v>
                </c:pt>
                <c:pt idx="82">
                  <c:v>4.5</c:v>
                </c:pt>
                <c:pt idx="83">
                  <c:v>5</c:v>
                </c:pt>
                <c:pt idx="84">
                  <c:v>5</c:v>
                </c:pt>
                <c:pt idx="85">
                  <c:v>5</c:v>
                </c:pt>
                <c:pt idx="86">
                  <c:v>4.5999999999999996</c:v>
                </c:pt>
                <c:pt idx="87">
                  <c:v>4.5999999999999996</c:v>
                </c:pt>
                <c:pt idx="88">
                  <c:v>4.5999999999999996</c:v>
                </c:pt>
                <c:pt idx="89">
                  <c:v>4.7</c:v>
                </c:pt>
                <c:pt idx="90">
                  <c:v>4.7</c:v>
                </c:pt>
                <c:pt idx="91">
                  <c:v>4.5</c:v>
                </c:pt>
                <c:pt idx="92">
                  <c:v>5</c:v>
                </c:pt>
                <c:pt idx="93">
                  <c:v>5</c:v>
                </c:pt>
                <c:pt idx="94">
                  <c:v>4.5</c:v>
                </c:pt>
                <c:pt idx="95">
                  <c:v>5</c:v>
                </c:pt>
                <c:pt idx="96">
                  <c:v>5</c:v>
                </c:pt>
                <c:pt idx="97">
                  <c:v>2</c:v>
                </c:pt>
                <c:pt idx="98">
                  <c:v>2.5</c:v>
                </c:pt>
                <c:pt idx="99">
                  <c:v>2.1</c:v>
                </c:pt>
                <c:pt idx="100">
                  <c:v>2.1</c:v>
                </c:pt>
                <c:pt idx="101">
                  <c:v>2.8</c:v>
                </c:pt>
                <c:pt idx="102">
                  <c:v>2.7</c:v>
                </c:pt>
                <c:pt idx="103">
                  <c:v>2.9</c:v>
                </c:pt>
                <c:pt idx="104">
                  <c:v>2.2000000000000002</c:v>
                </c:pt>
                <c:pt idx="105">
                  <c:v>2.6</c:v>
                </c:pt>
                <c:pt idx="106">
                  <c:v>2.6</c:v>
                </c:pt>
                <c:pt idx="107">
                  <c:v>2.2999999999999998</c:v>
                </c:pt>
                <c:pt idx="108">
                  <c:v>2.2000000000000002</c:v>
                </c:pt>
                <c:pt idx="109">
                  <c:v>2.2000000000000002</c:v>
                </c:pt>
                <c:pt idx="110">
                  <c:v>2.1</c:v>
                </c:pt>
                <c:pt idx="111">
                  <c:v>2</c:v>
                </c:pt>
              </c:numCache>
            </c:numRef>
          </c:yVal>
          <c:smooth val="0"/>
          <c:extLst>
            <c:ext xmlns:c16="http://schemas.microsoft.com/office/drawing/2014/chart" uri="{C3380CC4-5D6E-409C-BE32-E72D297353CC}">
              <c16:uniqueId val="{00000000-83D5-4CFA-8E8E-1CB7A28FFBA1}"/>
            </c:ext>
          </c:extLst>
        </c:ser>
        <c:dLbls>
          <c:showLegendKey val="0"/>
          <c:showVal val="0"/>
          <c:showCatName val="0"/>
          <c:showSerName val="0"/>
          <c:showPercent val="0"/>
          <c:showBubbleSize val="0"/>
        </c:dLbls>
        <c:axId val="451702200"/>
        <c:axId val="451701872"/>
      </c:scatterChart>
      <c:valAx>
        <c:axId val="451702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G"/>
          </a:p>
        </c:txPr>
        <c:crossAx val="451701872"/>
        <c:crosses val="autoZero"/>
        <c:crossBetween val="midCat"/>
      </c:valAx>
      <c:valAx>
        <c:axId val="451701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Number of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G"/>
          </a:p>
        </c:txPr>
        <c:crossAx val="4517022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3175" cap="flat" cmpd="sng" algn="ctr">
      <a:solidFill>
        <a:schemeClr val="bg2">
          <a:lumMod val="75000"/>
        </a:schemeClr>
      </a:solidFill>
      <a:round/>
    </a:ln>
    <a:effectLst/>
  </c:spPr>
  <c:txPr>
    <a:bodyPr/>
    <a:lstStyle/>
    <a:p>
      <a:pPr>
        <a:defRPr/>
      </a:pPr>
      <a:endParaRPr lang="en-U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r>
              <a:rPr lang="en-US" sz="1000" b="1">
                <a:solidFill>
                  <a:schemeClr val="tx1"/>
                </a:solidFill>
              </a:rPr>
              <a:t>Relationship</a:t>
            </a:r>
            <a:r>
              <a:rPr lang="en-US" sz="1000" b="1" baseline="0">
                <a:solidFill>
                  <a:schemeClr val="tx1"/>
                </a:solidFill>
              </a:rPr>
              <a:t> between discount percentage and number of reviews</a:t>
            </a:r>
            <a:endParaRPr lang="en-US" sz="1000"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G"/>
        </a:p>
      </c:txPr>
    </c:title>
    <c:autoTitleDeleted val="0"/>
    <c:plotArea>
      <c:layout/>
      <c:scatterChart>
        <c:scatterStyle val="lineMarker"/>
        <c:varyColors val="0"/>
        <c:ser>
          <c:idx val="0"/>
          <c:order val="0"/>
          <c:tx>
            <c:strRef>
              <c:f>Excel_jumia_dataset!$H$1</c:f>
              <c:strCache>
                <c:ptCount val="1"/>
                <c:pt idx="0">
                  <c:v>Review</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0"/>
            <c:dispEq val="0"/>
          </c:trendline>
          <c:xVal>
            <c:numRef>
              <c:f>Excel_jumia_dataset!$F$2:$F$113</c:f>
              <c:numCache>
                <c:formatCode>0%</c:formatCode>
                <c:ptCount val="112"/>
                <c:pt idx="0">
                  <c:v>0.61</c:v>
                </c:pt>
                <c:pt idx="1">
                  <c:v>0.45</c:v>
                </c:pt>
                <c:pt idx="2">
                  <c:v>0.49</c:v>
                </c:pt>
                <c:pt idx="3">
                  <c:v>0.55000000000000004</c:v>
                </c:pt>
                <c:pt idx="4">
                  <c:v>0.49</c:v>
                </c:pt>
                <c:pt idx="5">
                  <c:v>0.42</c:v>
                </c:pt>
                <c:pt idx="6">
                  <c:v>0.46</c:v>
                </c:pt>
                <c:pt idx="7">
                  <c:v>0.38</c:v>
                </c:pt>
                <c:pt idx="8">
                  <c:v>0.49</c:v>
                </c:pt>
                <c:pt idx="9">
                  <c:v>0.5</c:v>
                </c:pt>
                <c:pt idx="10">
                  <c:v>0.42</c:v>
                </c:pt>
                <c:pt idx="11">
                  <c:v>0.02</c:v>
                </c:pt>
                <c:pt idx="12">
                  <c:v>0.5</c:v>
                </c:pt>
                <c:pt idx="13">
                  <c:v>0.33</c:v>
                </c:pt>
                <c:pt idx="14">
                  <c:v>0.49</c:v>
                </c:pt>
                <c:pt idx="15">
                  <c:v>0.38</c:v>
                </c:pt>
                <c:pt idx="16">
                  <c:v>0.5</c:v>
                </c:pt>
                <c:pt idx="17">
                  <c:v>0.02</c:v>
                </c:pt>
                <c:pt idx="18">
                  <c:v>0.22</c:v>
                </c:pt>
                <c:pt idx="19">
                  <c:v>0.03</c:v>
                </c:pt>
                <c:pt idx="20">
                  <c:v>0.41</c:v>
                </c:pt>
                <c:pt idx="21">
                  <c:v>0.48</c:v>
                </c:pt>
                <c:pt idx="22">
                  <c:v>0.27</c:v>
                </c:pt>
                <c:pt idx="23">
                  <c:v>0.43</c:v>
                </c:pt>
                <c:pt idx="24">
                  <c:v>0.04</c:v>
                </c:pt>
                <c:pt idx="25">
                  <c:v>0.49</c:v>
                </c:pt>
                <c:pt idx="26">
                  <c:v>0.36</c:v>
                </c:pt>
                <c:pt idx="27">
                  <c:v>0.02</c:v>
                </c:pt>
                <c:pt idx="28">
                  <c:v>0.14000000000000001</c:v>
                </c:pt>
                <c:pt idx="29">
                  <c:v>0.49</c:v>
                </c:pt>
                <c:pt idx="30">
                  <c:v>0.11</c:v>
                </c:pt>
                <c:pt idx="31">
                  <c:v>0.14000000000000001</c:v>
                </c:pt>
                <c:pt idx="32">
                  <c:v>0.43</c:v>
                </c:pt>
                <c:pt idx="33">
                  <c:v>0.5</c:v>
                </c:pt>
                <c:pt idx="34">
                  <c:v>0.48</c:v>
                </c:pt>
                <c:pt idx="35">
                  <c:v>0.48</c:v>
                </c:pt>
                <c:pt idx="36">
                  <c:v>0.47</c:v>
                </c:pt>
                <c:pt idx="37">
                  <c:v>0.5</c:v>
                </c:pt>
                <c:pt idx="38">
                  <c:v>0.08</c:v>
                </c:pt>
                <c:pt idx="39">
                  <c:v>0.02</c:v>
                </c:pt>
                <c:pt idx="40">
                  <c:v>0.49</c:v>
                </c:pt>
                <c:pt idx="41">
                  <c:v>0.04</c:v>
                </c:pt>
                <c:pt idx="42">
                  <c:v>0.49</c:v>
                </c:pt>
                <c:pt idx="43">
                  <c:v>0.42</c:v>
                </c:pt>
                <c:pt idx="44">
                  <c:v>0.41</c:v>
                </c:pt>
                <c:pt idx="45">
                  <c:v>0.01</c:v>
                </c:pt>
                <c:pt idx="46">
                  <c:v>0.24</c:v>
                </c:pt>
                <c:pt idx="47">
                  <c:v>0.34</c:v>
                </c:pt>
                <c:pt idx="48">
                  <c:v>0.34</c:v>
                </c:pt>
                <c:pt idx="49">
                  <c:v>0.02</c:v>
                </c:pt>
                <c:pt idx="50">
                  <c:v>0.02</c:v>
                </c:pt>
                <c:pt idx="51">
                  <c:v>0.64</c:v>
                </c:pt>
                <c:pt idx="52">
                  <c:v>0.47</c:v>
                </c:pt>
                <c:pt idx="53">
                  <c:v>0.47</c:v>
                </c:pt>
                <c:pt idx="54">
                  <c:v>0.09</c:v>
                </c:pt>
                <c:pt idx="55">
                  <c:v>0.37</c:v>
                </c:pt>
                <c:pt idx="56">
                  <c:v>0.45</c:v>
                </c:pt>
                <c:pt idx="57">
                  <c:v>0.2</c:v>
                </c:pt>
                <c:pt idx="58">
                  <c:v>0.33</c:v>
                </c:pt>
                <c:pt idx="59">
                  <c:v>0.53</c:v>
                </c:pt>
                <c:pt idx="60">
                  <c:v>0.35</c:v>
                </c:pt>
                <c:pt idx="61">
                  <c:v>0.23</c:v>
                </c:pt>
                <c:pt idx="62">
                  <c:v>0.54</c:v>
                </c:pt>
                <c:pt idx="63">
                  <c:v>0.18</c:v>
                </c:pt>
                <c:pt idx="64">
                  <c:v>0.32</c:v>
                </c:pt>
                <c:pt idx="65">
                  <c:v>0.3</c:v>
                </c:pt>
                <c:pt idx="66">
                  <c:v>0.52</c:v>
                </c:pt>
                <c:pt idx="67">
                  <c:v>0.48</c:v>
                </c:pt>
                <c:pt idx="68">
                  <c:v>0.41</c:v>
                </c:pt>
                <c:pt idx="69">
                  <c:v>0.54</c:v>
                </c:pt>
                <c:pt idx="70">
                  <c:v>0.39</c:v>
                </c:pt>
                <c:pt idx="71">
                  <c:v>0.43</c:v>
                </c:pt>
                <c:pt idx="72">
                  <c:v>0.46</c:v>
                </c:pt>
                <c:pt idx="73">
                  <c:v>0.49</c:v>
                </c:pt>
                <c:pt idx="74">
                  <c:v>0.38</c:v>
                </c:pt>
                <c:pt idx="75">
                  <c:v>0.25</c:v>
                </c:pt>
                <c:pt idx="76">
                  <c:v>0.37</c:v>
                </c:pt>
                <c:pt idx="77">
                  <c:v>0.26</c:v>
                </c:pt>
                <c:pt idx="78">
                  <c:v>0.24</c:v>
                </c:pt>
                <c:pt idx="79">
                  <c:v>0.55000000000000004</c:v>
                </c:pt>
                <c:pt idx="80">
                  <c:v>0.34</c:v>
                </c:pt>
                <c:pt idx="81">
                  <c:v>0.47</c:v>
                </c:pt>
                <c:pt idx="82">
                  <c:v>0.42</c:v>
                </c:pt>
                <c:pt idx="83">
                  <c:v>0.51</c:v>
                </c:pt>
                <c:pt idx="84">
                  <c:v>0.46</c:v>
                </c:pt>
                <c:pt idx="85">
                  <c:v>0.49</c:v>
                </c:pt>
                <c:pt idx="86">
                  <c:v>0.19</c:v>
                </c:pt>
                <c:pt idx="87">
                  <c:v>0.49</c:v>
                </c:pt>
                <c:pt idx="88">
                  <c:v>0.35</c:v>
                </c:pt>
                <c:pt idx="89">
                  <c:v>0.34</c:v>
                </c:pt>
                <c:pt idx="90">
                  <c:v>0.27</c:v>
                </c:pt>
                <c:pt idx="91">
                  <c:v>0.27</c:v>
                </c:pt>
                <c:pt idx="92">
                  <c:v>0.4</c:v>
                </c:pt>
                <c:pt idx="93">
                  <c:v>0.53</c:v>
                </c:pt>
                <c:pt idx="94">
                  <c:v>0.38</c:v>
                </c:pt>
                <c:pt idx="95">
                  <c:v>0.49</c:v>
                </c:pt>
                <c:pt idx="96">
                  <c:v>0.21</c:v>
                </c:pt>
                <c:pt idx="97">
                  <c:v>0.49</c:v>
                </c:pt>
                <c:pt idx="98">
                  <c:v>0.13</c:v>
                </c:pt>
                <c:pt idx="99">
                  <c:v>0.55000000000000004</c:v>
                </c:pt>
                <c:pt idx="100">
                  <c:v>0.49</c:v>
                </c:pt>
                <c:pt idx="101">
                  <c:v>0.52</c:v>
                </c:pt>
                <c:pt idx="102">
                  <c:v>0.22</c:v>
                </c:pt>
                <c:pt idx="103">
                  <c:v>0.45</c:v>
                </c:pt>
                <c:pt idx="104">
                  <c:v>0.5</c:v>
                </c:pt>
                <c:pt idx="105">
                  <c:v>0.45</c:v>
                </c:pt>
                <c:pt idx="106">
                  <c:v>0.28999999999999998</c:v>
                </c:pt>
                <c:pt idx="107">
                  <c:v>0.43</c:v>
                </c:pt>
                <c:pt idx="108">
                  <c:v>0.47</c:v>
                </c:pt>
                <c:pt idx="109">
                  <c:v>0.47</c:v>
                </c:pt>
                <c:pt idx="110">
                  <c:v>0.47</c:v>
                </c:pt>
                <c:pt idx="111">
                  <c:v>0.5</c:v>
                </c:pt>
              </c:numCache>
            </c:numRef>
          </c:xVal>
          <c:yVal>
            <c:numRef>
              <c:f>Excel_jumia_dataset!$H$2:$H$113</c:f>
              <c:numCache>
                <c:formatCode>General</c:formatCode>
                <c:ptCount val="112"/>
                <c:pt idx="53">
                  <c:v>14</c:v>
                </c:pt>
                <c:pt idx="54">
                  <c:v>15</c:v>
                </c:pt>
                <c:pt idx="55">
                  <c:v>2</c:v>
                </c:pt>
                <c:pt idx="56">
                  <c:v>5</c:v>
                </c:pt>
                <c:pt idx="57">
                  <c:v>12</c:v>
                </c:pt>
                <c:pt idx="58">
                  <c:v>9</c:v>
                </c:pt>
                <c:pt idx="59">
                  <c:v>13</c:v>
                </c:pt>
                <c:pt idx="60">
                  <c:v>6</c:v>
                </c:pt>
                <c:pt idx="61">
                  <c:v>14</c:v>
                </c:pt>
                <c:pt idx="62">
                  <c:v>7</c:v>
                </c:pt>
                <c:pt idx="63">
                  <c:v>12</c:v>
                </c:pt>
                <c:pt idx="64">
                  <c:v>13</c:v>
                </c:pt>
                <c:pt idx="65">
                  <c:v>20</c:v>
                </c:pt>
                <c:pt idx="66">
                  <c:v>9</c:v>
                </c:pt>
                <c:pt idx="67">
                  <c:v>9</c:v>
                </c:pt>
                <c:pt idx="68">
                  <c:v>36</c:v>
                </c:pt>
                <c:pt idx="69">
                  <c:v>10</c:v>
                </c:pt>
                <c:pt idx="70">
                  <c:v>5</c:v>
                </c:pt>
                <c:pt idx="71">
                  <c:v>5</c:v>
                </c:pt>
                <c:pt idx="72">
                  <c:v>1</c:v>
                </c:pt>
                <c:pt idx="73">
                  <c:v>1</c:v>
                </c:pt>
                <c:pt idx="74">
                  <c:v>2</c:v>
                </c:pt>
                <c:pt idx="75">
                  <c:v>24</c:v>
                </c:pt>
                <c:pt idx="76">
                  <c:v>7</c:v>
                </c:pt>
                <c:pt idx="77">
                  <c:v>5</c:v>
                </c:pt>
                <c:pt idx="78">
                  <c:v>55</c:v>
                </c:pt>
                <c:pt idx="79">
                  <c:v>5</c:v>
                </c:pt>
                <c:pt idx="80">
                  <c:v>39</c:v>
                </c:pt>
                <c:pt idx="81">
                  <c:v>12</c:v>
                </c:pt>
                <c:pt idx="82">
                  <c:v>6</c:v>
                </c:pt>
                <c:pt idx="83">
                  <c:v>2</c:v>
                </c:pt>
                <c:pt idx="84">
                  <c:v>2</c:v>
                </c:pt>
                <c:pt idx="85">
                  <c:v>3</c:v>
                </c:pt>
                <c:pt idx="86">
                  <c:v>5</c:v>
                </c:pt>
                <c:pt idx="87">
                  <c:v>44</c:v>
                </c:pt>
                <c:pt idx="88">
                  <c:v>49</c:v>
                </c:pt>
                <c:pt idx="89">
                  <c:v>12</c:v>
                </c:pt>
                <c:pt idx="90">
                  <c:v>20</c:v>
                </c:pt>
                <c:pt idx="91">
                  <c:v>32</c:v>
                </c:pt>
                <c:pt idx="92">
                  <c:v>1</c:v>
                </c:pt>
                <c:pt idx="93">
                  <c:v>2</c:v>
                </c:pt>
                <c:pt idx="94">
                  <c:v>2</c:v>
                </c:pt>
                <c:pt idx="95">
                  <c:v>1</c:v>
                </c:pt>
                <c:pt idx="96">
                  <c:v>1</c:v>
                </c:pt>
                <c:pt idx="98">
                  <c:v>6</c:v>
                </c:pt>
                <c:pt idx="99">
                  <c:v>13</c:v>
                </c:pt>
                <c:pt idx="100">
                  <c:v>69</c:v>
                </c:pt>
                <c:pt idx="101">
                  <c:v>15</c:v>
                </c:pt>
                <c:pt idx="102">
                  <c:v>16</c:v>
                </c:pt>
                <c:pt idx="103">
                  <c:v>6</c:v>
                </c:pt>
                <c:pt idx="104">
                  <c:v>7</c:v>
                </c:pt>
                <c:pt idx="105">
                  <c:v>17</c:v>
                </c:pt>
                <c:pt idx="106">
                  <c:v>5</c:v>
                </c:pt>
                <c:pt idx="107">
                  <c:v>6</c:v>
                </c:pt>
                <c:pt idx="108">
                  <c:v>6</c:v>
                </c:pt>
                <c:pt idx="109">
                  <c:v>7</c:v>
                </c:pt>
                <c:pt idx="111">
                  <c:v>1</c:v>
                </c:pt>
              </c:numCache>
            </c:numRef>
          </c:yVal>
          <c:smooth val="0"/>
          <c:extLst>
            <c:ext xmlns:c16="http://schemas.microsoft.com/office/drawing/2014/chart" uri="{C3380CC4-5D6E-409C-BE32-E72D297353CC}">
              <c16:uniqueId val="{00000002-EDA3-41FC-8031-71186E40B598}"/>
            </c:ext>
          </c:extLst>
        </c:ser>
        <c:dLbls>
          <c:showLegendKey val="0"/>
          <c:showVal val="0"/>
          <c:showCatName val="0"/>
          <c:showSerName val="0"/>
          <c:showPercent val="0"/>
          <c:showBubbleSize val="0"/>
        </c:dLbls>
        <c:axId val="579268864"/>
        <c:axId val="579269520"/>
      </c:scatterChart>
      <c:valAx>
        <c:axId val="57926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percentage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G"/>
          </a:p>
        </c:txPr>
        <c:crossAx val="579269520"/>
        <c:crosses val="autoZero"/>
        <c:crossBetween val="midCat"/>
      </c:valAx>
      <c:valAx>
        <c:axId val="579269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79268864"/>
        <c:crosses val="autoZero"/>
        <c:crossBetween val="midCat"/>
      </c:valAx>
      <c:spPr>
        <a:noFill/>
        <a:ln>
          <a:noFill/>
        </a:ln>
        <a:effectLst/>
      </c:spPr>
    </c:plotArea>
    <c:plotVisOnly val="1"/>
    <c:dispBlanksAs val="gap"/>
    <c:showDLblsOverMax val="0"/>
  </c:chart>
  <c:spPr>
    <a:solidFill>
      <a:schemeClr val="accent2">
        <a:lumMod val="20000"/>
        <a:lumOff val="80000"/>
      </a:schemeClr>
    </a:solidFill>
    <a:ln w="3175" cap="flat" cmpd="sng" algn="ctr">
      <a:solidFill>
        <a:schemeClr val="bg2">
          <a:lumMod val="75000"/>
        </a:schemeClr>
      </a:solidFill>
      <a:round/>
    </a:ln>
    <a:effectLst/>
  </c:spPr>
  <c:txPr>
    <a:bodyPr/>
    <a:lstStyle/>
    <a:p>
      <a:pPr>
        <a:defRPr/>
      </a:pPr>
      <a:endParaRPr lang="en-UG"/>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Relationship between rating and number of reviews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G"/>
        </a:p>
      </c:txPr>
    </c:title>
    <c:autoTitleDeleted val="0"/>
    <c:plotArea>
      <c:layout/>
      <c:scatterChart>
        <c:scatterStyle val="lineMarker"/>
        <c:varyColors val="0"/>
        <c:ser>
          <c:idx val="0"/>
          <c:order val="0"/>
          <c:tx>
            <c:strRef>
              <c:f>Excel_jumia_dataset!$I$1</c:f>
              <c:strCache>
                <c:ptCount val="1"/>
                <c:pt idx="0">
                  <c:v>Ratings</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Excel_jumia_dataset!$H$2:$H$113</c:f>
              <c:numCache>
                <c:formatCode>General</c:formatCode>
                <c:ptCount val="112"/>
                <c:pt idx="53">
                  <c:v>14</c:v>
                </c:pt>
                <c:pt idx="54">
                  <c:v>15</c:v>
                </c:pt>
                <c:pt idx="55">
                  <c:v>2</c:v>
                </c:pt>
                <c:pt idx="56">
                  <c:v>5</c:v>
                </c:pt>
                <c:pt idx="57">
                  <c:v>12</c:v>
                </c:pt>
                <c:pt idx="58">
                  <c:v>9</c:v>
                </c:pt>
                <c:pt idx="59">
                  <c:v>13</c:v>
                </c:pt>
                <c:pt idx="60">
                  <c:v>6</c:v>
                </c:pt>
                <c:pt idx="61">
                  <c:v>14</c:v>
                </c:pt>
                <c:pt idx="62">
                  <c:v>7</c:v>
                </c:pt>
                <c:pt idx="63">
                  <c:v>12</c:v>
                </c:pt>
                <c:pt idx="64">
                  <c:v>13</c:v>
                </c:pt>
                <c:pt idx="65">
                  <c:v>20</c:v>
                </c:pt>
                <c:pt idx="66">
                  <c:v>9</c:v>
                </c:pt>
                <c:pt idx="67">
                  <c:v>9</c:v>
                </c:pt>
                <c:pt idx="68">
                  <c:v>36</c:v>
                </c:pt>
                <c:pt idx="69">
                  <c:v>10</c:v>
                </c:pt>
                <c:pt idx="70">
                  <c:v>5</c:v>
                </c:pt>
                <c:pt idx="71">
                  <c:v>5</c:v>
                </c:pt>
                <c:pt idx="72">
                  <c:v>1</c:v>
                </c:pt>
                <c:pt idx="73">
                  <c:v>1</c:v>
                </c:pt>
                <c:pt idx="74">
                  <c:v>2</c:v>
                </c:pt>
                <c:pt idx="75">
                  <c:v>24</c:v>
                </c:pt>
                <c:pt idx="76">
                  <c:v>7</c:v>
                </c:pt>
                <c:pt idx="77">
                  <c:v>5</c:v>
                </c:pt>
                <c:pt idx="78">
                  <c:v>55</c:v>
                </c:pt>
                <c:pt idx="79">
                  <c:v>5</c:v>
                </c:pt>
                <c:pt idx="80">
                  <c:v>39</c:v>
                </c:pt>
                <c:pt idx="81">
                  <c:v>12</c:v>
                </c:pt>
                <c:pt idx="82">
                  <c:v>6</c:v>
                </c:pt>
                <c:pt idx="83">
                  <c:v>2</c:v>
                </c:pt>
                <c:pt idx="84">
                  <c:v>2</c:v>
                </c:pt>
                <c:pt idx="85">
                  <c:v>3</c:v>
                </c:pt>
                <c:pt idx="86">
                  <c:v>5</c:v>
                </c:pt>
                <c:pt idx="87">
                  <c:v>44</c:v>
                </c:pt>
                <c:pt idx="88">
                  <c:v>49</c:v>
                </c:pt>
                <c:pt idx="89">
                  <c:v>12</c:v>
                </c:pt>
                <c:pt idx="90">
                  <c:v>20</c:v>
                </c:pt>
                <c:pt idx="91">
                  <c:v>32</c:v>
                </c:pt>
                <c:pt idx="92">
                  <c:v>1</c:v>
                </c:pt>
                <c:pt idx="93">
                  <c:v>2</c:v>
                </c:pt>
                <c:pt idx="94">
                  <c:v>2</c:v>
                </c:pt>
                <c:pt idx="95">
                  <c:v>1</c:v>
                </c:pt>
                <c:pt idx="96">
                  <c:v>1</c:v>
                </c:pt>
                <c:pt idx="98">
                  <c:v>6</c:v>
                </c:pt>
                <c:pt idx="99">
                  <c:v>13</c:v>
                </c:pt>
                <c:pt idx="100">
                  <c:v>69</c:v>
                </c:pt>
                <c:pt idx="101">
                  <c:v>15</c:v>
                </c:pt>
                <c:pt idx="102">
                  <c:v>16</c:v>
                </c:pt>
                <c:pt idx="103">
                  <c:v>6</c:v>
                </c:pt>
                <c:pt idx="104">
                  <c:v>7</c:v>
                </c:pt>
                <c:pt idx="105">
                  <c:v>17</c:v>
                </c:pt>
                <c:pt idx="106">
                  <c:v>5</c:v>
                </c:pt>
                <c:pt idx="107">
                  <c:v>6</c:v>
                </c:pt>
                <c:pt idx="108">
                  <c:v>6</c:v>
                </c:pt>
                <c:pt idx="109">
                  <c:v>7</c:v>
                </c:pt>
                <c:pt idx="111">
                  <c:v>1</c:v>
                </c:pt>
              </c:numCache>
            </c:numRef>
          </c:xVal>
          <c:yVal>
            <c:numRef>
              <c:f>Excel_jumia_dataset!$I$2:$I$113</c:f>
              <c:numCache>
                <c:formatCode>General</c:formatCode>
                <c:ptCount val="112"/>
                <c:pt idx="53">
                  <c:v>4.0999999999999996</c:v>
                </c:pt>
                <c:pt idx="54">
                  <c:v>4</c:v>
                </c:pt>
                <c:pt idx="55">
                  <c:v>4</c:v>
                </c:pt>
                <c:pt idx="56">
                  <c:v>3.8</c:v>
                </c:pt>
                <c:pt idx="57">
                  <c:v>4.0999999999999996</c:v>
                </c:pt>
                <c:pt idx="58">
                  <c:v>4.2</c:v>
                </c:pt>
                <c:pt idx="59">
                  <c:v>3.3</c:v>
                </c:pt>
                <c:pt idx="60">
                  <c:v>4</c:v>
                </c:pt>
                <c:pt idx="61">
                  <c:v>4.4000000000000004</c:v>
                </c:pt>
                <c:pt idx="62">
                  <c:v>3.3</c:v>
                </c:pt>
                <c:pt idx="63">
                  <c:v>3.8</c:v>
                </c:pt>
                <c:pt idx="64">
                  <c:v>3.8</c:v>
                </c:pt>
                <c:pt idx="65">
                  <c:v>4.0999999999999996</c:v>
                </c:pt>
                <c:pt idx="66">
                  <c:v>3.3</c:v>
                </c:pt>
                <c:pt idx="67">
                  <c:v>3.3</c:v>
                </c:pt>
                <c:pt idx="68">
                  <c:v>3.3</c:v>
                </c:pt>
                <c:pt idx="69">
                  <c:v>3</c:v>
                </c:pt>
                <c:pt idx="70">
                  <c:v>3</c:v>
                </c:pt>
                <c:pt idx="71">
                  <c:v>3</c:v>
                </c:pt>
                <c:pt idx="72">
                  <c:v>3</c:v>
                </c:pt>
                <c:pt idx="73">
                  <c:v>4</c:v>
                </c:pt>
                <c:pt idx="74">
                  <c:v>4.5</c:v>
                </c:pt>
                <c:pt idx="75">
                  <c:v>4.5999999999999996</c:v>
                </c:pt>
                <c:pt idx="76">
                  <c:v>4.7</c:v>
                </c:pt>
                <c:pt idx="77">
                  <c:v>4.8</c:v>
                </c:pt>
                <c:pt idx="78">
                  <c:v>4.5999999999999996</c:v>
                </c:pt>
                <c:pt idx="79">
                  <c:v>4.8</c:v>
                </c:pt>
                <c:pt idx="80">
                  <c:v>4.7</c:v>
                </c:pt>
                <c:pt idx="81">
                  <c:v>4.8</c:v>
                </c:pt>
                <c:pt idx="82">
                  <c:v>4.5</c:v>
                </c:pt>
                <c:pt idx="83">
                  <c:v>5</c:v>
                </c:pt>
                <c:pt idx="84">
                  <c:v>5</c:v>
                </c:pt>
                <c:pt idx="85">
                  <c:v>5</c:v>
                </c:pt>
                <c:pt idx="86">
                  <c:v>4.5999999999999996</c:v>
                </c:pt>
                <c:pt idx="87">
                  <c:v>4.5999999999999996</c:v>
                </c:pt>
                <c:pt idx="88">
                  <c:v>4.5999999999999996</c:v>
                </c:pt>
                <c:pt idx="89">
                  <c:v>4.7</c:v>
                </c:pt>
                <c:pt idx="90">
                  <c:v>4.7</c:v>
                </c:pt>
                <c:pt idx="91">
                  <c:v>4.5</c:v>
                </c:pt>
                <c:pt idx="92">
                  <c:v>5</c:v>
                </c:pt>
                <c:pt idx="93">
                  <c:v>5</c:v>
                </c:pt>
                <c:pt idx="94">
                  <c:v>4.5</c:v>
                </c:pt>
                <c:pt idx="95">
                  <c:v>5</c:v>
                </c:pt>
                <c:pt idx="96">
                  <c:v>5</c:v>
                </c:pt>
                <c:pt idx="97">
                  <c:v>2</c:v>
                </c:pt>
                <c:pt idx="98">
                  <c:v>2.5</c:v>
                </c:pt>
                <c:pt idx="99">
                  <c:v>2.1</c:v>
                </c:pt>
                <c:pt idx="100">
                  <c:v>2.1</c:v>
                </c:pt>
                <c:pt idx="101">
                  <c:v>2.8</c:v>
                </c:pt>
                <c:pt idx="102">
                  <c:v>2.7</c:v>
                </c:pt>
                <c:pt idx="103">
                  <c:v>2.9</c:v>
                </c:pt>
                <c:pt idx="104">
                  <c:v>2.2000000000000002</c:v>
                </c:pt>
                <c:pt idx="105">
                  <c:v>2.6</c:v>
                </c:pt>
                <c:pt idx="106">
                  <c:v>2.6</c:v>
                </c:pt>
                <c:pt idx="107">
                  <c:v>2.2999999999999998</c:v>
                </c:pt>
                <c:pt idx="108">
                  <c:v>2.2000000000000002</c:v>
                </c:pt>
                <c:pt idx="109">
                  <c:v>2.2000000000000002</c:v>
                </c:pt>
                <c:pt idx="110">
                  <c:v>2.1</c:v>
                </c:pt>
                <c:pt idx="111">
                  <c:v>2</c:v>
                </c:pt>
              </c:numCache>
            </c:numRef>
          </c:yVal>
          <c:smooth val="0"/>
          <c:extLst>
            <c:ext xmlns:c16="http://schemas.microsoft.com/office/drawing/2014/chart" uri="{C3380CC4-5D6E-409C-BE32-E72D297353CC}">
              <c16:uniqueId val="{00000001-3350-4353-B0E1-51832D6F1896}"/>
            </c:ext>
          </c:extLst>
        </c:ser>
        <c:dLbls>
          <c:showLegendKey val="0"/>
          <c:showVal val="0"/>
          <c:showCatName val="0"/>
          <c:showSerName val="0"/>
          <c:showPercent val="0"/>
          <c:showBubbleSize val="0"/>
        </c:dLbls>
        <c:axId val="451702200"/>
        <c:axId val="451701872"/>
      </c:scatterChart>
      <c:valAx>
        <c:axId val="451702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G"/>
          </a:p>
        </c:txPr>
        <c:crossAx val="451701872"/>
        <c:crosses val="autoZero"/>
        <c:crossBetween val="midCat"/>
      </c:valAx>
      <c:valAx>
        <c:axId val="4517018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Number of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G"/>
          </a:p>
        </c:txPr>
        <c:crossAx val="4517022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3175" cap="flat" cmpd="sng" algn="ctr">
      <a:solidFill>
        <a:schemeClr val="bg2">
          <a:lumMod val="75000"/>
        </a:schemeClr>
      </a:solidFill>
      <a:round/>
    </a:ln>
    <a:effectLst/>
  </c:spPr>
  <c:txPr>
    <a:bodyPr/>
    <a:lstStyle/>
    <a:p>
      <a:pPr>
        <a:defRPr/>
      </a:pPr>
      <a:endParaRPr lang="en-U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[Excel_jumia_dataset.xlsx]Top_10_Ratings!PivotTable1</c:name>
    <c:fmtId val="22"/>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Top 10 Products</a:t>
            </a:r>
            <a:r>
              <a:rPr lang="en-US" sz="1600" baseline="0">
                <a:solidFill>
                  <a:schemeClr val="tx1"/>
                </a:solidFill>
              </a:rPr>
              <a:t> by Ratings</a:t>
            </a:r>
            <a:endParaRPr lang="en-US" sz="1600">
              <a:solidFill>
                <a:schemeClr val="tx1"/>
              </a:solidFill>
            </a:endParaRPr>
          </a:p>
        </c:rich>
      </c:tx>
      <c:layout>
        <c:manualLayout>
          <c:xMode val="edge"/>
          <c:yMode val="edge"/>
          <c:x val="0.37135362956726309"/>
          <c:y val="3.601633129192184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G"/>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rgbClr val="ED7D31"/>
          </a:solidFill>
          <a:ln>
            <a:noFill/>
          </a:ln>
          <a:effectLst/>
        </c:spPr>
        <c:marker>
          <c:symbol val="none"/>
        </c:marker>
      </c:pivotFmt>
    </c:pivotFmts>
    <c:plotArea>
      <c:layout>
        <c:manualLayout>
          <c:layoutTarget val="inner"/>
          <c:xMode val="edge"/>
          <c:yMode val="edge"/>
          <c:x val="0.54170187789764024"/>
          <c:y val="0.14958114610673667"/>
          <c:w val="0.41405598682110101"/>
          <c:h val="0.74301946631671045"/>
        </c:manualLayout>
      </c:layout>
      <c:barChart>
        <c:barDir val="bar"/>
        <c:grouping val="clustered"/>
        <c:varyColors val="0"/>
        <c:ser>
          <c:idx val="0"/>
          <c:order val="0"/>
          <c:tx>
            <c:strRef>
              <c:f>Top_10_Ratings!$B$3</c:f>
              <c:strCache>
                <c:ptCount val="1"/>
                <c:pt idx="0">
                  <c:v>Total</c:v>
                </c:pt>
              </c:strCache>
            </c:strRef>
          </c:tx>
          <c:spPr>
            <a:solidFill>
              <a:srgbClr val="ED7D31"/>
            </a:solidFill>
            <a:ln>
              <a:noFill/>
            </a:ln>
            <a:effectLst/>
          </c:spPr>
          <c:invertIfNegative val="0"/>
          <c:cat>
            <c:strRef>
              <c:f>Top_10_Ratings!$A$4:$A$14</c:f>
              <c:strCache>
                <c:ptCount val="10"/>
                <c:pt idx="0">
                  <c:v>40cm Gold DIY Acrylic Wall Sticker Clock</c:v>
                </c:pt>
                <c:pt idx="1">
                  <c:v>Portable Home Small Air Humidifier 3-Speed Fan - Green</c:v>
                </c:pt>
                <c:pt idx="2">
                  <c:v>LASA FOLDING TABLE SERVING STAND</c:v>
                </c:pt>
                <c:pt idx="3">
                  <c:v>DIY File Folder, Office Drawer File Holder, Pen Holder, Desktop Storage Rack</c:v>
                </c:pt>
                <c:pt idx="4">
                  <c:v>LASA Aluminum Folding Truck Hand Cart - 68kg Max</c:v>
                </c:pt>
                <c:pt idx="5">
                  <c:v>Bedroom Simple Floor Hanging Clothes Rack Single Pole Hat Rack - White</c:v>
                </c:pt>
                <c:pt idx="6">
                  <c:v>Konka Healty Electric Kettle, 24-hour Heat Preservation,1.5L,800W, White</c:v>
                </c:pt>
                <c:pt idx="7">
                  <c:v>Peacock  Throw Pillow Cushion Case For Home Car</c:v>
                </c:pt>
                <c:pt idx="8">
                  <c:v>Anti-Skid Absorbent Insulation Coaster  For Home Office</c:v>
                </c:pt>
                <c:pt idx="9">
                  <c:v>Classic Black Cat Cotton Hemp Pillow Case For Home Car</c:v>
                </c:pt>
              </c:strCache>
            </c:strRef>
          </c:cat>
          <c:val>
            <c:numRef>
              <c:f>Top_10_Ratings!$B$4:$B$14</c:f>
              <c:numCache>
                <c:formatCode>General</c:formatCode>
                <c:ptCount val="10"/>
                <c:pt idx="0">
                  <c:v>4.8</c:v>
                </c:pt>
                <c:pt idx="1">
                  <c:v>4.8</c:v>
                </c:pt>
                <c:pt idx="2">
                  <c:v>4.8</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00-E82E-4103-8B34-15AF057AFAE9}"/>
            </c:ext>
          </c:extLst>
        </c:ser>
        <c:dLbls>
          <c:showLegendKey val="0"/>
          <c:showVal val="0"/>
          <c:showCatName val="0"/>
          <c:showSerName val="0"/>
          <c:showPercent val="0"/>
          <c:showBubbleSize val="0"/>
        </c:dLbls>
        <c:gapWidth val="219"/>
        <c:axId val="521181400"/>
        <c:axId val="521185336"/>
      </c:barChart>
      <c:catAx>
        <c:axId val="521181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21185336"/>
        <c:crosses val="autoZero"/>
        <c:auto val="1"/>
        <c:lblAlgn val="ctr"/>
        <c:lblOffset val="100"/>
        <c:noMultiLvlLbl val="0"/>
      </c:catAx>
      <c:valAx>
        <c:axId val="521185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21181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3175" cap="flat" cmpd="sng" algn="ctr">
      <a:solidFill>
        <a:schemeClr val="tx1"/>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[Excel_jumia_dataset.xlsx]Top_10_Review!PivotTable2</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a:t>
            </a:r>
            <a:r>
              <a:rPr lang="en-US" baseline="0">
                <a:solidFill>
                  <a:schemeClr val="tx1"/>
                </a:solidFill>
              </a:rPr>
              <a:t> 10 Products by Review</a:t>
            </a:r>
            <a:endParaRPr lang="en-US">
              <a:solidFill>
                <a:schemeClr val="tx1"/>
              </a:solidFill>
            </a:endParaRPr>
          </a:p>
        </c:rich>
      </c:tx>
      <c:layout>
        <c:manualLayout>
          <c:xMode val="edge"/>
          <c:yMode val="edge"/>
          <c:x val="0.35777517172055623"/>
          <c:y val="8.2385535141440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G"/>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manualLayout>
          <c:layoutTarget val="inner"/>
          <c:xMode val="edge"/>
          <c:yMode val="edge"/>
          <c:x val="0.55840244969378827"/>
          <c:y val="0.13828484981044034"/>
          <c:w val="0.39837532808398951"/>
          <c:h val="0.7543157626130067"/>
        </c:manualLayout>
      </c:layout>
      <c:barChart>
        <c:barDir val="bar"/>
        <c:grouping val="clustered"/>
        <c:varyColors val="0"/>
        <c:ser>
          <c:idx val="0"/>
          <c:order val="0"/>
          <c:tx>
            <c:strRef>
              <c:f>Top_10_Review!$B$3</c:f>
              <c:strCache>
                <c:ptCount val="1"/>
                <c:pt idx="0">
                  <c:v>Total</c:v>
                </c:pt>
              </c:strCache>
            </c:strRef>
          </c:tx>
          <c:spPr>
            <a:solidFill>
              <a:schemeClr val="accent2"/>
            </a:solidFill>
            <a:ln>
              <a:noFill/>
            </a:ln>
            <a:effectLst/>
          </c:spPr>
          <c:invertIfNegative val="0"/>
          <c:cat>
            <c:strRef>
              <c:f>Top_10_Review!$A$4:$A$14</c:f>
              <c:strCache>
                <c:ptCount val="10"/>
                <c:pt idx="0">
                  <c:v>52 Pieces Cake Decorating Tool Set Gift Kit Baking Supplies</c:v>
                </c:pt>
                <c:pt idx="1">
                  <c:v>53Pcs/Set Yarn Knitting Crochet Hooks With Bag - Fortune Cat</c:v>
                </c:pt>
                <c:pt idx="2">
                  <c:v>Portable Mini Cordless Car Vacuum Cleaner - Blue</c:v>
                </c:pt>
                <c:pt idx="3">
                  <c:v>53 Pieces/Set Yarn Knitting Crochet Hooks With Bag - Pansies</c:v>
                </c:pt>
                <c:pt idx="4">
                  <c:v>Punch-free Great Load Bearing Bathroom Storage Rack Wall Shelf-White</c:v>
                </c:pt>
                <c:pt idx="5">
                  <c:v>100 Pcs Crochet Hook Tool Set Knitting Hook Set With Box</c:v>
                </c:pt>
                <c:pt idx="6">
                  <c:v>3D Waterproof EVA Plastic Shower Curtain 1.8*2Mtrs</c:v>
                </c:pt>
                <c:pt idx="7">
                  <c:v>Electronic Digital Display Vernier Caliper</c:v>
                </c:pt>
                <c:pt idx="8">
                  <c:v>137 Pieces Cake Decorating Tool Set Baking Supplies</c:v>
                </c:pt>
                <c:pt idx="9">
                  <c:v>120W Cordless Vacuum Cleaners Handheld Electric Vacuum Cleaner</c:v>
                </c:pt>
              </c:strCache>
            </c:strRef>
          </c:cat>
          <c:val>
            <c:numRef>
              <c:f>Top_10_Review!$B$4:$B$14</c:f>
              <c:numCache>
                <c:formatCode>General</c:formatCode>
                <c:ptCount val="10"/>
                <c:pt idx="0">
                  <c:v>20</c:v>
                </c:pt>
                <c:pt idx="1">
                  <c:v>20</c:v>
                </c:pt>
                <c:pt idx="2">
                  <c:v>24</c:v>
                </c:pt>
                <c:pt idx="3">
                  <c:v>32</c:v>
                </c:pt>
                <c:pt idx="4">
                  <c:v>36</c:v>
                </c:pt>
                <c:pt idx="5">
                  <c:v>39</c:v>
                </c:pt>
                <c:pt idx="6">
                  <c:v>44</c:v>
                </c:pt>
                <c:pt idx="7">
                  <c:v>49</c:v>
                </c:pt>
                <c:pt idx="8">
                  <c:v>55</c:v>
                </c:pt>
                <c:pt idx="9">
                  <c:v>69</c:v>
                </c:pt>
              </c:numCache>
            </c:numRef>
          </c:val>
          <c:extLst>
            <c:ext xmlns:c16="http://schemas.microsoft.com/office/drawing/2014/chart" uri="{C3380CC4-5D6E-409C-BE32-E72D297353CC}">
              <c16:uniqueId val="{00000000-DCD7-4FF9-896B-588EEEF6D650}"/>
            </c:ext>
          </c:extLst>
        </c:ser>
        <c:dLbls>
          <c:showLegendKey val="0"/>
          <c:showVal val="0"/>
          <c:showCatName val="0"/>
          <c:showSerName val="0"/>
          <c:showPercent val="0"/>
          <c:showBubbleSize val="0"/>
        </c:dLbls>
        <c:gapWidth val="150"/>
        <c:axId val="404719384"/>
        <c:axId val="404722992"/>
      </c:barChart>
      <c:catAx>
        <c:axId val="404719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04722992"/>
        <c:crosses val="autoZero"/>
        <c:auto val="1"/>
        <c:lblAlgn val="ctr"/>
        <c:lblOffset val="100"/>
        <c:noMultiLvlLbl val="0"/>
      </c:catAx>
      <c:valAx>
        <c:axId val="404722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04719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3175" cap="flat" cmpd="sng" algn="ctr">
      <a:solidFill>
        <a:schemeClr val="accent3">
          <a:lumMod val="60000"/>
          <a:lumOff val="40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[Excel_jumia_dataset.xlsx]Top_10_Discount!PivotTable3</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Products by Discount</a:t>
            </a:r>
            <a:endParaRPr lang="en-US" b="1">
              <a:solidFill>
                <a:schemeClr val="tx1"/>
              </a:solidFill>
            </a:endParaRPr>
          </a:p>
        </c:rich>
      </c:tx>
      <c:layout>
        <c:manualLayout>
          <c:xMode val="edge"/>
          <c:yMode val="edge"/>
          <c:x val="0.3563624752833281"/>
          <c:y val="4.54671798751585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ED7D31"/>
          </a:solidFill>
          <a:ln>
            <a:noFill/>
          </a:ln>
          <a:effectLst/>
        </c:spPr>
        <c:marker>
          <c:symbol val="none"/>
        </c:marker>
      </c:pivotFmt>
    </c:pivotFmts>
    <c:plotArea>
      <c:layout>
        <c:manualLayout>
          <c:layoutTarget val="inner"/>
          <c:xMode val="edge"/>
          <c:yMode val="edge"/>
          <c:x val="0.55602747357935423"/>
          <c:y val="0.1745714212083225"/>
          <c:w val="0.39599287815885742"/>
          <c:h val="0.68984710510281655"/>
        </c:manualLayout>
      </c:layout>
      <c:barChart>
        <c:barDir val="bar"/>
        <c:grouping val="clustered"/>
        <c:varyColors val="0"/>
        <c:ser>
          <c:idx val="0"/>
          <c:order val="0"/>
          <c:tx>
            <c:strRef>
              <c:f>Top_10_Discount!$B$3</c:f>
              <c:strCache>
                <c:ptCount val="1"/>
                <c:pt idx="0">
                  <c:v>Total</c:v>
                </c:pt>
              </c:strCache>
            </c:strRef>
          </c:tx>
          <c:spPr>
            <a:solidFill>
              <a:srgbClr val="ED7D31"/>
            </a:solidFill>
            <a:ln>
              <a:noFill/>
            </a:ln>
            <a:effectLst/>
          </c:spPr>
          <c:invertIfNegative val="0"/>
          <c:cat>
            <c:strRef>
              <c:f>Top_10_Discount!$A$4:$A$14</c:f>
              <c:strCache>
                <c:ptCount val="10"/>
                <c:pt idx="0">
                  <c:v>Classic Black Cat Cotton Hemp Pillow Case For Home Car</c:v>
                </c:pt>
                <c:pt idx="1">
                  <c:v>3PCS Single Head Knitting Crochet Sweater Needle Set</c:v>
                </c:pt>
                <c:pt idx="2">
                  <c:v>Mythco 120COB Solar Wall Ligt With Motion Sensor And Remote Control 3 Modes</c:v>
                </c:pt>
                <c:pt idx="3">
                  <c:v>LASA 3 Tier Bamboo Shoe Bench Storage Shelf</c:v>
                </c:pt>
                <c:pt idx="4">
                  <c:v>5-PCS Stainless Steel Cooking Pot Set With Steamed Slices</c:v>
                </c:pt>
                <c:pt idx="5">
                  <c:v>LASA FOLDING TABLE SERVING STAND</c:v>
                </c:pt>
                <c:pt idx="6">
                  <c:v>6 In 1 Bottle Can Opener Multifunctional Easy Opener</c:v>
                </c:pt>
                <c:pt idx="7">
                  <c:v>Angle Measuring Tool Full Metal Multi Angle Measuring Tool</c:v>
                </c:pt>
                <c:pt idx="8">
                  <c:v>Simple Metal Dog Art Sculpture Decoration For Home Office</c:v>
                </c:pt>
                <c:pt idx="9">
                  <c:v>Creative Owl Shape Keychain Black</c:v>
                </c:pt>
              </c:strCache>
            </c:strRef>
          </c:cat>
          <c:val>
            <c:numRef>
              <c:f>Top_10_Discount!$B$4:$B$14</c:f>
              <c:numCache>
                <c:formatCode>General</c:formatCode>
                <c:ptCount val="10"/>
                <c:pt idx="0">
                  <c:v>0.53</c:v>
                </c:pt>
                <c:pt idx="1">
                  <c:v>0.53</c:v>
                </c:pt>
                <c:pt idx="2">
                  <c:v>0.54</c:v>
                </c:pt>
                <c:pt idx="3">
                  <c:v>0.54</c:v>
                </c:pt>
                <c:pt idx="4">
                  <c:v>0.55000000000000004</c:v>
                </c:pt>
                <c:pt idx="5">
                  <c:v>0.55000000000000004</c:v>
                </c:pt>
                <c:pt idx="6">
                  <c:v>0.64</c:v>
                </c:pt>
                <c:pt idx="7">
                  <c:v>0.98</c:v>
                </c:pt>
                <c:pt idx="8">
                  <c:v>1</c:v>
                </c:pt>
                <c:pt idx="9">
                  <c:v>1.1000000000000001</c:v>
                </c:pt>
              </c:numCache>
            </c:numRef>
          </c:val>
          <c:extLst>
            <c:ext xmlns:c16="http://schemas.microsoft.com/office/drawing/2014/chart" uri="{C3380CC4-5D6E-409C-BE32-E72D297353CC}">
              <c16:uniqueId val="{00000000-50B2-44DA-8B56-149B303BBEB1}"/>
            </c:ext>
          </c:extLst>
        </c:ser>
        <c:dLbls>
          <c:showLegendKey val="0"/>
          <c:showVal val="0"/>
          <c:showCatName val="0"/>
          <c:showSerName val="0"/>
          <c:showPercent val="0"/>
          <c:showBubbleSize val="0"/>
        </c:dLbls>
        <c:gapWidth val="219"/>
        <c:axId val="528880768"/>
        <c:axId val="528889624"/>
      </c:barChart>
      <c:catAx>
        <c:axId val="52888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28889624"/>
        <c:crosses val="autoZero"/>
        <c:auto val="1"/>
        <c:lblAlgn val="ctr"/>
        <c:lblOffset val="100"/>
        <c:noMultiLvlLbl val="0"/>
      </c:catAx>
      <c:valAx>
        <c:axId val="528889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2888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3175" cap="flat" cmpd="sng" algn="ctr">
      <a:solidFill>
        <a:schemeClr val="accent3">
          <a:lumMod val="40000"/>
          <a:lumOff val="60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[Excel_jumia_dataset.xlsx]products_by_rating_category!PivotTable5</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 breakdown of Product</a:t>
            </a:r>
            <a:r>
              <a:rPr lang="en-US" b="1" baseline="0">
                <a:solidFill>
                  <a:schemeClr val="tx1"/>
                </a:solidFill>
              </a:rPr>
              <a:t> by rating </a:t>
            </a:r>
            <a:endParaRPr lang="en-US" b="1">
              <a:solidFill>
                <a:schemeClr val="tx1"/>
              </a:solidFill>
            </a:endParaRPr>
          </a:p>
        </c:rich>
      </c:tx>
      <c:layout>
        <c:manualLayout>
          <c:xMode val="edge"/>
          <c:yMode val="edge"/>
          <c:x val="0.2202567804024497"/>
          <c:y val="3.71169645651538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G"/>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products_by_rating_category!$B$3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products_by_rating_category!$A$4:$A$8</c:f>
              <c:strCache>
                <c:ptCount val="4"/>
                <c:pt idx="0">
                  <c:v>Average</c:v>
                </c:pt>
                <c:pt idx="1">
                  <c:v>Excellent</c:v>
                </c:pt>
                <c:pt idx="2">
                  <c:v>Poor</c:v>
                </c:pt>
                <c:pt idx="3">
                  <c:v>No rating</c:v>
                </c:pt>
              </c:strCache>
            </c:strRef>
          </c:cat>
          <c:val>
            <c:numRef>
              <c:f>products_by_rating_category!$B$4:$B$8</c:f>
              <c:numCache>
                <c:formatCode>General</c:formatCode>
                <c:ptCount val="4"/>
                <c:pt idx="0">
                  <c:v>21</c:v>
                </c:pt>
                <c:pt idx="1">
                  <c:v>23</c:v>
                </c:pt>
                <c:pt idx="2">
                  <c:v>15</c:v>
                </c:pt>
                <c:pt idx="3">
                  <c:v>53</c:v>
                </c:pt>
              </c:numCache>
            </c:numRef>
          </c:val>
          <c:extLst>
            <c:ext xmlns:c16="http://schemas.microsoft.com/office/drawing/2014/chart" uri="{C3380CC4-5D6E-409C-BE32-E72D297353CC}">
              <c16:uniqueId val="{00000000-A3DD-4945-A417-604A9384B3DD}"/>
            </c:ext>
          </c:extLst>
        </c:ser>
        <c:dLbls>
          <c:showLegendKey val="0"/>
          <c:showVal val="0"/>
          <c:showCatName val="0"/>
          <c:showSerName val="0"/>
          <c:showPercent val="0"/>
          <c:showBubbleSize val="0"/>
        </c:dLbls>
        <c:gapWidth val="219"/>
        <c:overlap val="-27"/>
        <c:axId val="414530072"/>
        <c:axId val="414531712"/>
      </c:barChart>
      <c:catAx>
        <c:axId val="414530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14531712"/>
        <c:crosses val="autoZero"/>
        <c:auto val="1"/>
        <c:lblAlgn val="ctr"/>
        <c:lblOffset val="100"/>
        <c:noMultiLvlLbl val="0"/>
      </c:catAx>
      <c:valAx>
        <c:axId val="414531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14530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7D31">
        <a:lumMod val="20000"/>
        <a:lumOff val="80000"/>
      </a:srgbClr>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[Excel_jumia_dataset.xlsx]Products_by_discount!PivotTable2</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a:t>
            </a:r>
            <a:r>
              <a:rPr lang="en-US" b="1" baseline="0">
                <a:solidFill>
                  <a:schemeClr val="tx1"/>
                </a:solidFill>
              </a:rPr>
              <a:t> breakdown of Products by Product Discount</a:t>
            </a:r>
            <a:endParaRPr lang="en-US" b="1">
              <a:solidFill>
                <a:schemeClr val="tx1"/>
              </a:solidFill>
            </a:endParaRPr>
          </a:p>
        </c:rich>
      </c:tx>
      <c:layout>
        <c:manualLayout>
          <c:xMode val="edge"/>
          <c:yMode val="edge"/>
          <c:x val="0.21567344706911637"/>
          <c:y val="3.60163312919218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Products_by_discount!$B$3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Products_by_discount!$A$4:$A$7</c:f>
              <c:strCache>
                <c:ptCount val="3"/>
                <c:pt idx="0">
                  <c:v>High Discount</c:v>
                </c:pt>
                <c:pt idx="1">
                  <c:v>Low Discount</c:v>
                </c:pt>
                <c:pt idx="2">
                  <c:v>Medium Discount</c:v>
                </c:pt>
              </c:strCache>
            </c:strRef>
          </c:cat>
          <c:val>
            <c:numRef>
              <c:f>Products_by_discount!$B$4:$B$7</c:f>
              <c:numCache>
                <c:formatCode>General</c:formatCode>
                <c:ptCount val="3"/>
                <c:pt idx="0">
                  <c:v>62</c:v>
                </c:pt>
                <c:pt idx="1">
                  <c:v>18</c:v>
                </c:pt>
                <c:pt idx="2">
                  <c:v>32</c:v>
                </c:pt>
              </c:numCache>
            </c:numRef>
          </c:val>
          <c:extLst>
            <c:ext xmlns:c16="http://schemas.microsoft.com/office/drawing/2014/chart" uri="{C3380CC4-5D6E-409C-BE32-E72D297353CC}">
              <c16:uniqueId val="{00000000-B2AC-4E09-9E30-540CE9221ECA}"/>
            </c:ext>
          </c:extLst>
        </c:ser>
        <c:dLbls>
          <c:dLblPos val="outEnd"/>
          <c:showLegendKey val="0"/>
          <c:showVal val="1"/>
          <c:showCatName val="0"/>
          <c:showSerName val="0"/>
          <c:showPercent val="0"/>
          <c:showBubbleSize val="0"/>
        </c:dLbls>
        <c:gapWidth val="219"/>
        <c:overlap val="-27"/>
        <c:axId val="514707248"/>
        <c:axId val="514707576"/>
      </c:barChart>
      <c:catAx>
        <c:axId val="51470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G"/>
          </a:p>
        </c:txPr>
        <c:crossAx val="514707576"/>
        <c:crosses val="autoZero"/>
        <c:auto val="1"/>
        <c:lblAlgn val="ctr"/>
        <c:lblOffset val="100"/>
        <c:noMultiLvlLbl val="0"/>
      </c:catAx>
      <c:valAx>
        <c:axId val="514707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14707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7D31">
        <a:lumMod val="20000"/>
        <a:lumOff val="80000"/>
      </a:srgbClr>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1.png"/><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546100</xdr:colOff>
      <xdr:row>4</xdr:row>
      <xdr:rowOff>31750</xdr:rowOff>
    </xdr:from>
    <xdr:to>
      <xdr:col>6</xdr:col>
      <xdr:colOff>546100</xdr:colOff>
      <xdr:row>17</xdr:row>
      <xdr:rowOff>161925</xdr:rowOff>
    </xdr:to>
    <mc:AlternateContent xmlns:mc="http://schemas.openxmlformats.org/markup-compatibility/2006">
      <mc:Choice xmlns:a14="http://schemas.microsoft.com/office/drawing/2010/main" Requires="a14">
        <xdr:graphicFrame macro="">
          <xdr:nvGraphicFramePr>
            <xdr:cNvPr id="2" name="Product Discount ">
              <a:extLst>
                <a:ext uri="{FF2B5EF4-FFF2-40B4-BE49-F238E27FC236}">
                  <a16:creationId xmlns:a16="http://schemas.microsoft.com/office/drawing/2014/main" id="{377A55F5-43D4-45DF-A11B-18A230CFE479}"/>
                </a:ext>
              </a:extLst>
            </xdr:cNvPr>
            <xdr:cNvGraphicFramePr/>
          </xdr:nvGraphicFramePr>
          <xdr:xfrm>
            <a:off x="0" y="0"/>
            <a:ext cx="0" cy="0"/>
          </xdr:xfrm>
          <a:graphic>
            <a:graphicData uri="http://schemas.microsoft.com/office/drawing/2010/slicer">
              <sle:slicer xmlns:sle="http://schemas.microsoft.com/office/drawing/2010/slicer" name="Product Discount "/>
            </a:graphicData>
          </a:graphic>
        </xdr:graphicFrame>
      </mc:Choice>
      <mc:Fallback>
        <xdr:sp macro="" textlink="">
          <xdr:nvSpPr>
            <xdr:cNvPr id="0" name=""/>
            <xdr:cNvSpPr>
              <a:spLocks noTextEdit="1"/>
            </xdr:cNvSpPr>
          </xdr:nvSpPr>
          <xdr:spPr>
            <a:xfrm>
              <a:off x="8299450" y="768350"/>
              <a:ext cx="1828800" cy="252412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246943</xdr:colOff>
      <xdr:row>11</xdr:row>
      <xdr:rowOff>177094</xdr:rowOff>
    </xdr:from>
    <xdr:to>
      <xdr:col>7</xdr:col>
      <xdr:colOff>246943</xdr:colOff>
      <xdr:row>26</xdr:row>
      <xdr:rowOff>168627</xdr:rowOff>
    </xdr:to>
    <xdr:graphicFrame macro="">
      <xdr:nvGraphicFramePr>
        <xdr:cNvPr id="3" name="Chart 2">
          <a:extLst>
            <a:ext uri="{FF2B5EF4-FFF2-40B4-BE49-F238E27FC236}">
              <a16:creationId xmlns:a16="http://schemas.microsoft.com/office/drawing/2014/main" id="{528075CC-5EA8-435A-91B5-09B3543ED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49389</xdr:colOff>
      <xdr:row>5</xdr:row>
      <xdr:rowOff>86078</xdr:rowOff>
    </xdr:from>
    <xdr:to>
      <xdr:col>2</xdr:col>
      <xdr:colOff>932744</xdr:colOff>
      <xdr:row>19</xdr:row>
      <xdr:rowOff>41981</xdr:rowOff>
    </xdr:to>
    <mc:AlternateContent xmlns:mc="http://schemas.openxmlformats.org/markup-compatibility/2006">
      <mc:Choice xmlns:a14="http://schemas.microsoft.com/office/drawing/2010/main" Requires="a14">
        <xdr:graphicFrame macro="">
          <xdr:nvGraphicFramePr>
            <xdr:cNvPr id="10" name="Ratings">
              <a:extLst>
                <a:ext uri="{FF2B5EF4-FFF2-40B4-BE49-F238E27FC236}">
                  <a16:creationId xmlns:a16="http://schemas.microsoft.com/office/drawing/2014/main" id="{D1AFDC0A-ECEA-4C48-9CC9-D74C88FB8164}"/>
                </a:ext>
              </a:extLst>
            </xdr:cNvPr>
            <xdr:cNvGraphicFramePr/>
          </xdr:nvGraphicFramePr>
          <xdr:xfrm>
            <a:off x="0" y="0"/>
            <a:ext cx="0" cy="0"/>
          </xdr:xfrm>
          <a:graphic>
            <a:graphicData uri="http://schemas.microsoft.com/office/drawing/2010/slicer">
              <sle:slicer xmlns:sle="http://schemas.microsoft.com/office/drawing/2010/slicer" name="Ratings"/>
            </a:graphicData>
          </a:graphic>
        </xdr:graphicFrame>
      </mc:Choice>
      <mc:Fallback>
        <xdr:sp macro="" textlink="">
          <xdr:nvSpPr>
            <xdr:cNvPr id="0" name=""/>
            <xdr:cNvSpPr>
              <a:spLocks noTextEdit="1"/>
            </xdr:cNvSpPr>
          </xdr:nvSpPr>
          <xdr:spPr>
            <a:xfrm>
              <a:off x="4635500" y="1003300"/>
              <a:ext cx="1828800" cy="252412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111124</xdr:colOff>
      <xdr:row>3</xdr:row>
      <xdr:rowOff>107950</xdr:rowOff>
    </xdr:from>
    <xdr:to>
      <xdr:col>8</xdr:col>
      <xdr:colOff>463549</xdr:colOff>
      <xdr:row>18</xdr:row>
      <xdr:rowOff>88900</xdr:rowOff>
    </xdr:to>
    <xdr:graphicFrame macro="">
      <xdr:nvGraphicFramePr>
        <xdr:cNvPr id="2" name="Chart 1">
          <a:extLst>
            <a:ext uri="{FF2B5EF4-FFF2-40B4-BE49-F238E27FC236}">
              <a16:creationId xmlns:a16="http://schemas.microsoft.com/office/drawing/2014/main" id="{3B940494-9856-4BFF-B7FE-E43A5907D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3355975</xdr:colOff>
      <xdr:row>7</xdr:row>
      <xdr:rowOff>95250</xdr:rowOff>
    </xdr:from>
    <xdr:to>
      <xdr:col>4</xdr:col>
      <xdr:colOff>136525</xdr:colOff>
      <xdr:row>22</xdr:row>
      <xdr:rowOff>76200</xdr:rowOff>
    </xdr:to>
    <xdr:graphicFrame macro="">
      <xdr:nvGraphicFramePr>
        <xdr:cNvPr id="2" name="Chart 1">
          <a:extLst>
            <a:ext uri="{FF2B5EF4-FFF2-40B4-BE49-F238E27FC236}">
              <a16:creationId xmlns:a16="http://schemas.microsoft.com/office/drawing/2014/main" id="{3FEB1425-CE39-4593-88B6-75C24F2C0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41275</xdr:colOff>
      <xdr:row>3</xdr:row>
      <xdr:rowOff>76200</xdr:rowOff>
    </xdr:from>
    <xdr:to>
      <xdr:col>10</xdr:col>
      <xdr:colOff>346075</xdr:colOff>
      <xdr:row>18</xdr:row>
      <xdr:rowOff>57150</xdr:rowOff>
    </xdr:to>
    <xdr:graphicFrame macro="">
      <xdr:nvGraphicFramePr>
        <xdr:cNvPr id="2" name="Chart 1">
          <a:extLst>
            <a:ext uri="{FF2B5EF4-FFF2-40B4-BE49-F238E27FC236}">
              <a16:creationId xmlns:a16="http://schemas.microsoft.com/office/drawing/2014/main" id="{B203473D-7C33-4A5D-93F2-73FB09ECE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422275</xdr:colOff>
      <xdr:row>3</xdr:row>
      <xdr:rowOff>76200</xdr:rowOff>
    </xdr:from>
    <xdr:to>
      <xdr:col>10</xdr:col>
      <xdr:colOff>117475</xdr:colOff>
      <xdr:row>18</xdr:row>
      <xdr:rowOff>57150</xdr:rowOff>
    </xdr:to>
    <xdr:graphicFrame macro="">
      <xdr:nvGraphicFramePr>
        <xdr:cNvPr id="2" name="Chart 1">
          <a:extLst>
            <a:ext uri="{FF2B5EF4-FFF2-40B4-BE49-F238E27FC236}">
              <a16:creationId xmlns:a16="http://schemas.microsoft.com/office/drawing/2014/main" id="{6E843B23-021B-45C2-BFCA-80409166C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18</xdr:col>
      <xdr:colOff>555625</xdr:colOff>
      <xdr:row>0</xdr:row>
      <xdr:rowOff>38100</xdr:rowOff>
    </xdr:from>
    <xdr:to>
      <xdr:col>26</xdr:col>
      <xdr:colOff>250825</xdr:colOff>
      <xdr:row>10</xdr:row>
      <xdr:rowOff>6350</xdr:rowOff>
    </xdr:to>
    <xdr:graphicFrame macro="">
      <xdr:nvGraphicFramePr>
        <xdr:cNvPr id="3" name="Chart 2">
          <a:extLst>
            <a:ext uri="{FF2B5EF4-FFF2-40B4-BE49-F238E27FC236}">
              <a16:creationId xmlns:a16="http://schemas.microsoft.com/office/drawing/2014/main" id="{3CB05D70-FCA9-4F13-BECE-D746838014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549275</xdr:colOff>
      <xdr:row>10</xdr:row>
      <xdr:rowOff>95250</xdr:rowOff>
    </xdr:from>
    <xdr:to>
      <xdr:col>26</xdr:col>
      <xdr:colOff>244475</xdr:colOff>
      <xdr:row>25</xdr:row>
      <xdr:rowOff>76200</xdr:rowOff>
    </xdr:to>
    <xdr:graphicFrame macro="">
      <xdr:nvGraphicFramePr>
        <xdr:cNvPr id="4" name="Chart 3">
          <a:extLst>
            <a:ext uri="{FF2B5EF4-FFF2-40B4-BE49-F238E27FC236}">
              <a16:creationId xmlns:a16="http://schemas.microsoft.com/office/drawing/2014/main" id="{5CA18ECC-6831-440F-8D39-E611BFCC8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42334</xdr:colOff>
      <xdr:row>0</xdr:row>
      <xdr:rowOff>25918</xdr:rowOff>
    </xdr:from>
    <xdr:to>
      <xdr:col>25</xdr:col>
      <xdr:colOff>412750</xdr:colOff>
      <xdr:row>3</xdr:row>
      <xdr:rowOff>10584</xdr:rowOff>
    </xdr:to>
    <xdr:sp macro="" textlink="">
      <xdr:nvSpPr>
        <xdr:cNvPr id="2" name="Rectangle: Rounded Corners 1">
          <a:extLst>
            <a:ext uri="{FF2B5EF4-FFF2-40B4-BE49-F238E27FC236}">
              <a16:creationId xmlns:a16="http://schemas.microsoft.com/office/drawing/2014/main" id="{3E23A4D7-0A11-4326-A201-FF1C2FBE5046}"/>
            </a:ext>
          </a:extLst>
        </xdr:cNvPr>
        <xdr:cNvSpPr/>
      </xdr:nvSpPr>
      <xdr:spPr>
        <a:xfrm>
          <a:off x="2478661" y="25918"/>
          <a:ext cx="13161130" cy="528952"/>
        </a:xfrm>
        <a:prstGeom prst="roundRect">
          <a:avLst/>
        </a:prstGeom>
        <a:solidFill>
          <a:schemeClr val="accent1">
            <a:lumMod val="40000"/>
            <a:lumOff val="60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JUMIA</a:t>
          </a:r>
          <a:r>
            <a:rPr lang="en-US" sz="2400" b="1" baseline="0">
              <a:solidFill>
                <a:schemeClr val="tx1"/>
              </a:solidFill>
              <a:latin typeface="Times New Roman" panose="02020603050405020304" pitchFamily="18" charset="0"/>
              <a:cs typeface="Times New Roman" panose="02020603050405020304" pitchFamily="18" charset="0"/>
            </a:rPr>
            <a:t> PRODUCT PERFORMANCE DASHBOARD </a:t>
          </a:r>
          <a:endParaRPr lang="en-UG"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42334</xdr:colOff>
      <xdr:row>3</xdr:row>
      <xdr:rowOff>92225</xdr:rowOff>
    </xdr:from>
    <xdr:to>
      <xdr:col>8</xdr:col>
      <xdr:colOff>169335</xdr:colOff>
      <xdr:row>6</xdr:row>
      <xdr:rowOff>148166</xdr:rowOff>
    </xdr:to>
    <xdr:sp macro="" textlink="">
      <xdr:nvSpPr>
        <xdr:cNvPr id="3" name="Rectangle: Rounded Corners 2">
          <a:extLst>
            <a:ext uri="{FF2B5EF4-FFF2-40B4-BE49-F238E27FC236}">
              <a16:creationId xmlns:a16="http://schemas.microsoft.com/office/drawing/2014/main" id="{39B60AC7-957F-4278-BC9B-12BB771D491D}"/>
            </a:ext>
          </a:extLst>
        </xdr:cNvPr>
        <xdr:cNvSpPr/>
      </xdr:nvSpPr>
      <xdr:spPr>
        <a:xfrm>
          <a:off x="1883834" y="452058"/>
          <a:ext cx="2582334" cy="595691"/>
        </a:xfrm>
        <a:prstGeom prst="roundRect">
          <a:avLst/>
        </a:prstGeom>
        <a:solidFill>
          <a:schemeClr val="accent1">
            <a:lumMod val="40000"/>
            <a:lumOff val="6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112</a:t>
          </a:r>
        </a:p>
        <a:p>
          <a:pPr algn="ctr"/>
          <a:r>
            <a:rPr lang="en-US" sz="1200" b="1">
              <a:solidFill>
                <a:schemeClr val="tx1"/>
              </a:solidFill>
            </a:rPr>
            <a:t>Total</a:t>
          </a:r>
          <a:r>
            <a:rPr lang="en-US" sz="1200" b="1" baseline="0">
              <a:solidFill>
                <a:schemeClr val="tx1"/>
              </a:solidFill>
            </a:rPr>
            <a:t> number of products</a:t>
          </a:r>
        </a:p>
      </xdr:txBody>
    </xdr:sp>
    <xdr:clientData/>
  </xdr:twoCellAnchor>
  <xdr:twoCellAnchor>
    <xdr:from>
      <xdr:col>8</xdr:col>
      <xdr:colOff>518584</xdr:colOff>
      <xdr:row>3</xdr:row>
      <xdr:rowOff>87691</xdr:rowOff>
    </xdr:from>
    <xdr:to>
      <xdr:col>12</xdr:col>
      <xdr:colOff>381000</xdr:colOff>
      <xdr:row>6</xdr:row>
      <xdr:rowOff>148166</xdr:rowOff>
    </xdr:to>
    <xdr:sp macro="" textlink="">
      <xdr:nvSpPr>
        <xdr:cNvPr id="5" name="Rectangle: Rounded Corners 4">
          <a:extLst>
            <a:ext uri="{FF2B5EF4-FFF2-40B4-BE49-F238E27FC236}">
              <a16:creationId xmlns:a16="http://schemas.microsoft.com/office/drawing/2014/main" id="{6BA526D5-9768-4CA9-B81F-452002B8597C}"/>
            </a:ext>
          </a:extLst>
        </xdr:cNvPr>
        <xdr:cNvSpPr/>
      </xdr:nvSpPr>
      <xdr:spPr>
        <a:xfrm>
          <a:off x="4815417" y="447524"/>
          <a:ext cx="2317750" cy="600225"/>
        </a:xfrm>
        <a:prstGeom prst="roundRect">
          <a:avLst/>
        </a:prstGeom>
        <a:solidFill>
          <a:schemeClr val="accent1">
            <a:lumMod val="40000"/>
            <a:lumOff val="6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3.8</a:t>
          </a:r>
        </a:p>
        <a:p>
          <a:pPr algn="ctr"/>
          <a:r>
            <a:rPr lang="en-US" sz="1200" b="1">
              <a:solidFill>
                <a:schemeClr val="tx1"/>
              </a:solidFill>
            </a:rPr>
            <a:t>Average</a:t>
          </a:r>
          <a:r>
            <a:rPr lang="en-US" sz="1200" b="1" baseline="0">
              <a:solidFill>
                <a:schemeClr val="tx1"/>
              </a:solidFill>
            </a:rPr>
            <a:t> Rating  </a:t>
          </a:r>
        </a:p>
        <a:p>
          <a:pPr algn="ctr"/>
          <a:endParaRPr lang="en-UG" sz="1200" b="1">
            <a:solidFill>
              <a:schemeClr val="tx1"/>
            </a:solidFill>
          </a:endParaRPr>
        </a:p>
      </xdr:txBody>
    </xdr:sp>
    <xdr:clientData/>
  </xdr:twoCellAnchor>
  <xdr:twoCellAnchor>
    <xdr:from>
      <xdr:col>15</xdr:col>
      <xdr:colOff>166610</xdr:colOff>
      <xdr:row>3</xdr:row>
      <xdr:rowOff>84063</xdr:rowOff>
    </xdr:from>
    <xdr:to>
      <xdr:col>20</xdr:col>
      <xdr:colOff>169333</xdr:colOff>
      <xdr:row>6</xdr:row>
      <xdr:rowOff>148167</xdr:rowOff>
    </xdr:to>
    <xdr:sp macro="" textlink="">
      <xdr:nvSpPr>
        <xdr:cNvPr id="6" name="Rectangle: Rounded Corners 5">
          <a:extLst>
            <a:ext uri="{FF2B5EF4-FFF2-40B4-BE49-F238E27FC236}">
              <a16:creationId xmlns:a16="http://schemas.microsoft.com/office/drawing/2014/main" id="{64EE97CC-E7DA-4496-A236-9510A4170D87}"/>
            </a:ext>
          </a:extLst>
        </xdr:cNvPr>
        <xdr:cNvSpPr/>
      </xdr:nvSpPr>
      <xdr:spPr>
        <a:xfrm>
          <a:off x="8760277" y="443896"/>
          <a:ext cx="3071889" cy="603854"/>
        </a:xfrm>
        <a:prstGeom prst="roundRect">
          <a:avLst/>
        </a:prstGeom>
        <a:solidFill>
          <a:schemeClr val="accent1">
            <a:lumMod val="40000"/>
            <a:lumOff val="6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37%</a:t>
          </a:r>
        </a:p>
        <a:p>
          <a:pPr algn="ctr"/>
          <a:r>
            <a:rPr lang="en-US" sz="1200" b="1">
              <a:solidFill>
                <a:schemeClr val="tx1"/>
              </a:solidFill>
            </a:rPr>
            <a:t>Average Discount Percentage </a:t>
          </a:r>
        </a:p>
      </xdr:txBody>
    </xdr:sp>
    <xdr:clientData/>
  </xdr:twoCellAnchor>
  <xdr:twoCellAnchor>
    <xdr:from>
      <xdr:col>21</xdr:col>
      <xdr:colOff>158750</xdr:colOff>
      <xdr:row>3</xdr:row>
      <xdr:rowOff>63501</xdr:rowOff>
    </xdr:from>
    <xdr:to>
      <xdr:col>25</xdr:col>
      <xdr:colOff>412750</xdr:colOff>
      <xdr:row>6</xdr:row>
      <xdr:rowOff>74084</xdr:rowOff>
    </xdr:to>
    <xdr:sp macro="" textlink="">
      <xdr:nvSpPr>
        <xdr:cNvPr id="7" name="Rectangle: Rounded Corners 6">
          <a:extLst>
            <a:ext uri="{FF2B5EF4-FFF2-40B4-BE49-F238E27FC236}">
              <a16:creationId xmlns:a16="http://schemas.microsoft.com/office/drawing/2014/main" id="{8C4AEF0D-E491-419F-A3D1-1C533F9F0430}"/>
            </a:ext>
          </a:extLst>
        </xdr:cNvPr>
        <xdr:cNvSpPr/>
      </xdr:nvSpPr>
      <xdr:spPr>
        <a:xfrm>
          <a:off x="12435417" y="423334"/>
          <a:ext cx="2709333" cy="550333"/>
        </a:xfrm>
        <a:prstGeom prst="roundRect">
          <a:avLst/>
        </a:prstGeom>
        <a:solidFill>
          <a:schemeClr val="accent1">
            <a:lumMod val="40000"/>
            <a:lumOff val="6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723</a:t>
          </a:r>
        </a:p>
        <a:p>
          <a:pPr algn="ctr"/>
          <a:r>
            <a:rPr lang="en-US" sz="1200" b="1">
              <a:solidFill>
                <a:schemeClr val="tx1"/>
              </a:solidFill>
            </a:rPr>
            <a:t>Total</a:t>
          </a:r>
          <a:r>
            <a:rPr lang="en-US" sz="1200" b="1" baseline="0">
              <a:solidFill>
                <a:schemeClr val="tx1"/>
              </a:solidFill>
            </a:rPr>
            <a:t> Reviews</a:t>
          </a:r>
        </a:p>
      </xdr:txBody>
    </xdr:sp>
    <xdr:clientData/>
  </xdr:twoCellAnchor>
  <xdr:twoCellAnchor>
    <xdr:from>
      <xdr:col>3</xdr:col>
      <xdr:colOff>603250</xdr:colOff>
      <xdr:row>19</xdr:row>
      <xdr:rowOff>39686</xdr:rowOff>
    </xdr:from>
    <xdr:to>
      <xdr:col>10</xdr:col>
      <xdr:colOff>455084</xdr:colOff>
      <xdr:row>31</xdr:row>
      <xdr:rowOff>126998</xdr:rowOff>
    </xdr:to>
    <xdr:graphicFrame macro="">
      <xdr:nvGraphicFramePr>
        <xdr:cNvPr id="16" name="Chart 15">
          <a:extLst>
            <a:ext uri="{FF2B5EF4-FFF2-40B4-BE49-F238E27FC236}">
              <a16:creationId xmlns:a16="http://schemas.microsoft.com/office/drawing/2014/main" id="{7422894C-5AB7-4CEF-95F5-295DA044A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582084</xdr:colOff>
      <xdr:row>19</xdr:row>
      <xdr:rowOff>74082</xdr:rowOff>
    </xdr:from>
    <xdr:to>
      <xdr:col>18</xdr:col>
      <xdr:colOff>84667</xdr:colOff>
      <xdr:row>31</xdr:row>
      <xdr:rowOff>168470</xdr:rowOff>
    </xdr:to>
    <xdr:graphicFrame macro="">
      <xdr:nvGraphicFramePr>
        <xdr:cNvPr id="18" name="Chart 17">
          <a:extLst>
            <a:ext uri="{FF2B5EF4-FFF2-40B4-BE49-F238E27FC236}">
              <a16:creationId xmlns:a16="http://schemas.microsoft.com/office/drawing/2014/main" id="{8402C4F4-E35D-453B-B77D-6F755005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38879</xdr:colOff>
      <xdr:row>0</xdr:row>
      <xdr:rowOff>38877</xdr:rowOff>
    </xdr:from>
    <xdr:to>
      <xdr:col>3</xdr:col>
      <xdr:colOff>479490</xdr:colOff>
      <xdr:row>6</xdr:row>
      <xdr:rowOff>142551</xdr:rowOff>
    </xdr:to>
    <xdr:pic>
      <xdr:nvPicPr>
        <xdr:cNvPr id="12" name="Picture 11">
          <a:extLst>
            <a:ext uri="{FF2B5EF4-FFF2-40B4-BE49-F238E27FC236}">
              <a16:creationId xmlns:a16="http://schemas.microsoft.com/office/drawing/2014/main" id="{22EE6C9E-B6E8-4D9F-BFAB-4441D49FA58F}"/>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276" t="17687" r="10185" b="19728"/>
        <a:stretch/>
      </xdr:blipFill>
      <xdr:spPr>
        <a:xfrm>
          <a:off x="38879" y="38877"/>
          <a:ext cx="2267856" cy="1192245"/>
        </a:xfrm>
        <a:prstGeom prst="rect">
          <a:avLst/>
        </a:prstGeom>
      </xdr:spPr>
    </xdr:pic>
    <xdr:clientData/>
  </xdr:twoCellAnchor>
  <xdr:twoCellAnchor>
    <xdr:from>
      <xdr:col>4</xdr:col>
      <xdr:colOff>1</xdr:colOff>
      <xdr:row>7</xdr:row>
      <xdr:rowOff>0</xdr:rowOff>
    </xdr:from>
    <xdr:to>
      <xdr:col>10</xdr:col>
      <xdr:colOff>479490</xdr:colOff>
      <xdr:row>18</xdr:row>
      <xdr:rowOff>129592</xdr:rowOff>
    </xdr:to>
    <xdr:graphicFrame macro="">
      <xdr:nvGraphicFramePr>
        <xdr:cNvPr id="30" name="Chart 29">
          <a:extLst>
            <a:ext uri="{FF2B5EF4-FFF2-40B4-BE49-F238E27FC236}">
              <a16:creationId xmlns:a16="http://schemas.microsoft.com/office/drawing/2014/main" id="{5E721536-B814-4F17-A4C5-4A354D6BD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577765</xdr:colOff>
      <xdr:row>7</xdr:row>
      <xdr:rowOff>38878</xdr:rowOff>
    </xdr:from>
    <xdr:to>
      <xdr:col>18</xdr:col>
      <xdr:colOff>25919</xdr:colOff>
      <xdr:row>18</xdr:row>
      <xdr:rowOff>142551</xdr:rowOff>
    </xdr:to>
    <xdr:graphicFrame macro="">
      <xdr:nvGraphicFramePr>
        <xdr:cNvPr id="32" name="Chart 31">
          <a:extLst>
            <a:ext uri="{FF2B5EF4-FFF2-40B4-BE49-F238E27FC236}">
              <a16:creationId xmlns:a16="http://schemas.microsoft.com/office/drawing/2014/main" id="{756AC328-42A3-46CC-ADF4-2CF07B298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220306</xdr:colOff>
      <xdr:row>7</xdr:row>
      <xdr:rowOff>0</xdr:rowOff>
    </xdr:from>
    <xdr:to>
      <xdr:col>25</xdr:col>
      <xdr:colOff>479490</xdr:colOff>
      <xdr:row>18</xdr:row>
      <xdr:rowOff>177282</xdr:rowOff>
    </xdr:to>
    <xdr:graphicFrame macro="">
      <xdr:nvGraphicFramePr>
        <xdr:cNvPr id="33" name="Chart 32">
          <a:extLst>
            <a:ext uri="{FF2B5EF4-FFF2-40B4-BE49-F238E27FC236}">
              <a16:creationId xmlns:a16="http://schemas.microsoft.com/office/drawing/2014/main" id="{8D9B69F4-7CE7-4798-B841-B200A8C72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7</xdr:row>
      <xdr:rowOff>0</xdr:rowOff>
    </xdr:from>
    <xdr:to>
      <xdr:col>3</xdr:col>
      <xdr:colOff>453571</xdr:colOff>
      <xdr:row>20</xdr:row>
      <xdr:rowOff>165554</xdr:rowOff>
    </xdr:to>
    <mc:AlternateContent xmlns:mc="http://schemas.openxmlformats.org/markup-compatibility/2006">
      <mc:Choice xmlns:a14="http://schemas.microsoft.com/office/drawing/2010/main" Requires="a14">
        <xdr:graphicFrame macro="">
          <xdr:nvGraphicFramePr>
            <xdr:cNvPr id="34" name="Product 1">
              <a:extLst>
                <a:ext uri="{FF2B5EF4-FFF2-40B4-BE49-F238E27FC236}">
                  <a16:creationId xmlns:a16="http://schemas.microsoft.com/office/drawing/2014/main" id="{B6CC1DA4-1D70-4772-80B5-09C486BAC69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0" y="1270000"/>
              <a:ext cx="2280816" cy="252412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220306</xdr:colOff>
      <xdr:row>19</xdr:row>
      <xdr:rowOff>90714</xdr:rowOff>
    </xdr:from>
    <xdr:to>
      <xdr:col>25</xdr:col>
      <xdr:colOff>528734</xdr:colOff>
      <xdr:row>32</xdr:row>
      <xdr:rowOff>51837</xdr:rowOff>
    </xdr:to>
    <xdr:graphicFrame macro="">
      <xdr:nvGraphicFramePr>
        <xdr:cNvPr id="36" name="Chart 35">
          <a:extLst>
            <a:ext uri="{FF2B5EF4-FFF2-40B4-BE49-F238E27FC236}">
              <a16:creationId xmlns:a16="http://schemas.microsoft.com/office/drawing/2014/main" id="{A3B53A50-C205-47F6-905D-1AD7916B5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0</xdr:colOff>
      <xdr:row>33</xdr:row>
      <xdr:rowOff>0</xdr:rowOff>
    </xdr:from>
    <xdr:to>
      <xdr:col>10</xdr:col>
      <xdr:colOff>453572</xdr:colOff>
      <xdr:row>48</xdr:row>
      <xdr:rowOff>21772</xdr:rowOff>
    </xdr:to>
    <xdr:graphicFrame macro="">
      <xdr:nvGraphicFramePr>
        <xdr:cNvPr id="38" name="Chart 37">
          <a:extLst>
            <a:ext uri="{FF2B5EF4-FFF2-40B4-BE49-F238E27FC236}">
              <a16:creationId xmlns:a16="http://schemas.microsoft.com/office/drawing/2014/main" id="{336B2E66-94BC-4AA5-B193-DE4EB142E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25918</xdr:colOff>
      <xdr:row>28</xdr:row>
      <xdr:rowOff>129592</xdr:rowOff>
    </xdr:from>
    <xdr:to>
      <xdr:col>3</xdr:col>
      <xdr:colOff>388775</xdr:colOff>
      <xdr:row>47</xdr:row>
      <xdr:rowOff>168469</xdr:rowOff>
    </xdr:to>
    <mc:AlternateContent xmlns:mc="http://schemas.openxmlformats.org/markup-compatibility/2006">
      <mc:Choice xmlns:a14="http://schemas.microsoft.com/office/drawing/2010/main" Requires="a14">
        <xdr:graphicFrame macro="">
          <xdr:nvGraphicFramePr>
            <xdr:cNvPr id="39" name="Ratings 1">
              <a:extLst>
                <a:ext uri="{FF2B5EF4-FFF2-40B4-BE49-F238E27FC236}">
                  <a16:creationId xmlns:a16="http://schemas.microsoft.com/office/drawing/2014/main" id="{A7A03BA7-36ED-4C9D-8865-CA34EA007DA4}"/>
                </a:ext>
              </a:extLst>
            </xdr:cNvPr>
            <xdr:cNvGraphicFramePr/>
          </xdr:nvGraphicFramePr>
          <xdr:xfrm>
            <a:off x="0" y="0"/>
            <a:ext cx="0" cy="0"/>
          </xdr:xfrm>
          <a:graphic>
            <a:graphicData uri="http://schemas.microsoft.com/office/drawing/2010/slicer">
              <sle:slicer xmlns:sle="http://schemas.microsoft.com/office/drawing/2010/slicer" name="Ratings 1"/>
            </a:graphicData>
          </a:graphic>
        </xdr:graphicFrame>
      </mc:Choice>
      <mc:Fallback>
        <xdr:sp macro="" textlink="">
          <xdr:nvSpPr>
            <xdr:cNvPr id="0" name=""/>
            <xdr:cNvSpPr>
              <a:spLocks noTextEdit="1"/>
            </xdr:cNvSpPr>
          </xdr:nvSpPr>
          <xdr:spPr>
            <a:xfrm>
              <a:off x="25918" y="5209592"/>
              <a:ext cx="2190102" cy="3486020"/>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0</xdr:rowOff>
    </xdr:from>
    <xdr:to>
      <xdr:col>3</xdr:col>
      <xdr:colOff>414693</xdr:colOff>
      <xdr:row>28</xdr:row>
      <xdr:rowOff>77755</xdr:rowOff>
    </xdr:to>
    <mc:AlternateContent xmlns:mc="http://schemas.openxmlformats.org/markup-compatibility/2006">
      <mc:Choice xmlns:a14="http://schemas.microsoft.com/office/drawing/2010/main" Requires="a14">
        <xdr:graphicFrame macro="">
          <xdr:nvGraphicFramePr>
            <xdr:cNvPr id="40" name="Product Discount  1">
              <a:extLst>
                <a:ext uri="{FF2B5EF4-FFF2-40B4-BE49-F238E27FC236}">
                  <a16:creationId xmlns:a16="http://schemas.microsoft.com/office/drawing/2014/main" id="{27F6E53A-84D3-4D9B-B017-CCD669054DE5}"/>
                </a:ext>
              </a:extLst>
            </xdr:cNvPr>
            <xdr:cNvGraphicFramePr/>
          </xdr:nvGraphicFramePr>
          <xdr:xfrm>
            <a:off x="0" y="0"/>
            <a:ext cx="0" cy="0"/>
          </xdr:xfrm>
          <a:graphic>
            <a:graphicData uri="http://schemas.microsoft.com/office/drawing/2010/slicer">
              <sle:slicer xmlns:sle="http://schemas.microsoft.com/office/drawing/2010/slicer" name="Product Discount  1"/>
            </a:graphicData>
          </a:graphic>
        </xdr:graphicFrame>
      </mc:Choice>
      <mc:Fallback>
        <xdr:sp macro="" textlink="">
          <xdr:nvSpPr>
            <xdr:cNvPr id="0" name=""/>
            <xdr:cNvSpPr>
              <a:spLocks noTextEdit="1"/>
            </xdr:cNvSpPr>
          </xdr:nvSpPr>
          <xdr:spPr>
            <a:xfrm>
              <a:off x="0" y="3810000"/>
              <a:ext cx="2241938" cy="134775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5.740488773146" createdVersion="6" refreshedVersion="6" minRefreshableVersion="3" recordCount="112" xr:uid="{05F11E3A-0E05-4EE8-9EE5-847EF5DBF1D0}">
  <cacheSource type="worksheet">
    <worksheetSource ref="A1:J113" sheet="Excel_jumia_dataset"/>
  </cacheSource>
  <cacheFields count="10">
    <cacheField name="Product" numFmtId="0">
      <sharedItems count="109">
        <s v="Creative Owl Shape Keychain Black"/>
        <s v="Simple Metal Dog Art Sculpture Decoration For Home Office"/>
        <s v="Angle Measuring Tool Full Metal Multi Angle Measuring Tool"/>
        <s v="4pcs Bathroom/Kitchen Towel Rack,Roll Paper Holder,Towel Bars,Hook"/>
        <s v="MultiFunctional Storage Rack Multi-layer Bookshelf"/>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Christmas Fence Garden Decorations Outdoor For Holiday Home"/>
        <s v="12V 19500rpm Handheld Electric Angle Grinder Tool - UK - Yellow/Black"/>
        <s v="3PCS Rotary Scraper Thermomix For Kitchen"/>
        <s v="Cushion Silicone Butt Cushion Summer Ice Cushion Honeycomb Gel Cushion"/>
        <s v="7PCS Silicone Thumb Knife Finger Protector Vegetable Harvesting Knife"/>
        <s v="5m Waterproof Spherical LED String Lights Outdoor Ball Chain Lights Party Lighting Decoration Adjustable"/>
        <s v="2 Pairs Cowhide Split Leather Work Gloves.32â„‰ Or Above Welding Gloves"/>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Black Simple Water Cup Wine Coaster Anti Slip Absorbent"/>
        <s v="Metal Decorative Hooks Key Hangers Entryway Wall Hooks Towel Hooks - Home"/>
        <s v="220V 60W Electric Soldering Iron Kits With Tools, Tips, And Multimeter"/>
        <s v="Desk Foldable Fan Adjustable Fan Strong Wind 3 Gear Usb"/>
        <s v="13 In 1 Home Repair Tools Box Kit Set"/>
        <s v="Genebre 115 In 1 Screwdriver Repairing Tool Set For IPhone Cellphone Hand Tool"/>
        <s v="Multifunction Laser Level With Adjustment Tripod"/>
        <s v="3PCS Single Head Knitting Crochet Sweater Needle Set"/>
        <s v="LED Romantic Spaceship Starry Sky Projector,Children's Bedroom Night Light-Blue"/>
        <s v="Foldable Overbed Table/Desk"/>
        <s v="LASA 3 Tier Bamboo Shoe Bench Storage Shelf"/>
        <s v="Portable Wardrobe Nonwoven With 3 Hanging Rods And 6 Storage Shelves"/>
        <s v="12 Litre Black Insulated Lunch Box"/>
        <s v="52 Pieces Cake Decorating Tool Set Gift Kit Baking Supplies"/>
        <s v="Exfoliate And Exfoliate Face Towel - Black"/>
        <s v="LED Eye Protection  Desk Lamp , Study, Reading, USB Fan - Double Pen Holder"/>
        <s v="Punch-free Great Load Bearing Bathroom Storage Rack Wall Shelf-White"/>
        <s v="Mythco 120COB Solar Wall Ligt With Motion Sensor And Remote Control 3 Modes"/>
        <s v="32PCS Portable Cordless Drill Set With Cyclic Battery Drive -26 Variable Speed"/>
        <s v="Wrought Iron Bathroom Shelf Wall Mounted Free Punch Toilet Rack"/>
        <s v="Memory Foam Neck Pillow Cover, With Pillow Core - 50*30cm"/>
        <s v="Household Pineapple Peeler Peeler"/>
        <s v="115  Piece Set Of Multifunctional Precision Screwdrivers"/>
        <s v="Portable Mini Cordless Car Vacuum Cleaner - Blue"/>
        <s v="Weighing Scale Digital Bathroom Body Fat Scale USB-Black"/>
        <s v="Portable Home Small Air Humidifier 3-Speed Fan - Green"/>
        <s v="137 Pieces Cake Decorating Tool Set Baking Supplies"/>
        <s v="LASA FOLDING TABLE SERVING STAND"/>
        <s v="100 Pcs Crochet Hook Tool Set Knitting Hook Set With Box"/>
        <s v="40cm Gold DIY Acrylic Wall Sticker Clock"/>
        <s v="LASA Digital Thermometer And Hydrometer"/>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Electronic Digital Display Vernier Caliper"/>
        <s v="12 Litre Insulated Lunch Box Grey"/>
        <s v="53Pcs/Set Yarn Knitting Crochet Hooks With Bag - Fortune Cat"/>
        <s v="53 Pieces/Set Yarn Knitting Crochet Hooks With Bag - Pansies"/>
        <s v="DIY File Folder, Office Drawer File Holder, Pen Holder, Desktop Storage Rack"/>
        <s v="Classic Black Cat Cotton Hemp Pillow Case For Home Car"/>
        <s v="1/2/3 Seater Elastic Sofa Cover,Living Room/Home Decor Chair Cover-Grey"/>
        <s v="Bedroom Simple Floor Hanging Clothes Rack Single Pole Hat Rack - White"/>
        <s v="Konka Healty Electric Kettle, 24-hour Heat Preservation,1.5L,800W, White"/>
        <s v="5 Pieces/set Of Stainless Steel Induction Cooker Pot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Agapeon Toothbrush Holder And Toothpaste Dispenser"/>
        <s v="Large Lazy Inflatable Sofa Chairs PVC Lounger Seat Bag"/>
        <s v="Watercolour Gold Foil Textured Print Pillow Cover"/>
        <s v="7-piece Set Of Storage Bags, Travel Storage Bags, Shoe Bags"/>
        <s v="Electric LED UV Mosquito Killer Lamp, Outdoor/Indoor Fly Killer Trap Light -USB"/>
        <s v="2PCS/LOT Solar LED Outdoor Intelligent Light Controlled Wall Lamp"/>
        <s v="Wall-mounted Sticker Punch-free Plug Fixer"/>
      </sharedItems>
    </cacheField>
    <cacheField name="Product Category " numFmtId="0">
      <sharedItems count="13">
        <s v="Fashion Accessories"/>
        <s v="Home Decor &amp; Furnishings"/>
        <s v="Tools &amp; Hardware"/>
        <s v="Kitchen &amp; Dining"/>
        <s v="Storage &amp; Organization"/>
        <s v="Health, Personal Care &amp; Bathroom"/>
        <s v="General Household Items"/>
        <s v="Automotive Accessories"/>
        <s v="Electrical &amp; Lighting"/>
        <s v="Furniture"/>
        <s v="Safety &amp; Protective Equipment"/>
        <s v="Baby &amp; Kids"/>
        <s v="Arts, Crafts &amp; Hobbies"/>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Absolute discount amount" numFmtId="164">
      <sharedItems containsSemiMixedTypes="0" containsString="0" containsNumber="1" containsInteger="1" minValue="24" maxValue="2585"/>
    </cacheField>
    <cacheField name="Discount percentage" numFmtId="9">
      <sharedItems containsSemiMixedTypes="0" containsString="0" containsNumber="1" minValue="0.01" maxValue="0.64"/>
    </cacheField>
    <cacheField name="Product Discount " numFmtId="9">
      <sharedItems count="3">
        <s v="High Discount"/>
        <s v="Medium Discount"/>
        <s v="Low Discount"/>
      </sharedItems>
    </cacheField>
    <cacheField name="Review" numFmtId="0">
      <sharedItems containsString="0" containsBlank="1" containsNumber="1" containsInteger="1" minValue="1" maxValue="69"/>
    </cacheField>
    <cacheField name="Ratings" numFmtId="0">
      <sharedItems containsString="0" containsBlank="1" containsNumber="1" minValue="2" maxValue="5" count="22">
        <m/>
        <n v="4.0999999999999996"/>
        <n v="4"/>
        <n v="3.8"/>
        <n v="4.2"/>
        <n v="3.3"/>
        <n v="4.4000000000000004"/>
        <n v="3"/>
        <n v="4.5"/>
        <n v="4.5999999999999996"/>
        <n v="4.7"/>
        <n v="4.8"/>
        <n v="5"/>
        <n v="2"/>
        <n v="2.5"/>
        <n v="2.1"/>
        <n v="2.8"/>
        <n v="2.7"/>
        <n v="2.9"/>
        <n v="2.2000000000000002"/>
        <n v="2.6"/>
        <n v="2.2999999999999998"/>
      </sharedItems>
    </cacheField>
    <cacheField name="Product Rating" numFmtId="0">
      <sharedItems count="5">
        <s v="No rating"/>
        <s v="Average"/>
        <s v="Excellent"/>
        <s v="Poor"/>
        <s v="" u="1"/>
      </sharedItems>
    </cacheField>
  </cacheFields>
  <extLst>
    <ext xmlns:x14="http://schemas.microsoft.com/office/spreadsheetml/2009/9/main" uri="{725AE2AE-9491-48be-B2B4-4EB974FC3084}">
      <x14:pivotCacheDefinition pivotCacheId="6518165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5.740489351854" createdVersion="6" refreshedVersion="6" minRefreshableVersion="3" recordCount="113" xr:uid="{DDEC443B-A7CB-46FB-82E1-C3FFD06AD6B2}">
  <cacheSource type="worksheet">
    <worksheetSource ref="A1:J114" sheet="Excel_jumia_dataset"/>
  </cacheSource>
  <cacheFields count="10">
    <cacheField name="Product" numFmtId="0">
      <sharedItems containsBlank="1" count="110">
        <s v="Creative Owl Shape Keychain Black"/>
        <s v="Simple Metal Dog Art Sculpture Decoration For Home Office"/>
        <s v="Angle Measuring Tool Full Metal Multi Angle Measuring Tool"/>
        <s v="4pcs Bathroom/Kitchen Towel Rack,Roll Paper Holder,Towel Bars,Hook"/>
        <s v="MultiFunctional Storage Rack Multi-layer Bookshelf"/>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Christmas Fence Garden Decorations Outdoor For Holiday Home"/>
        <s v="12V 19500rpm Handheld Electric Angle Grinder Tool - UK - Yellow/Black"/>
        <s v="3PCS Rotary Scraper Thermomix For Kitchen"/>
        <s v="Cushion Silicone Butt Cushion Summer Ice Cushion Honeycomb Gel Cushion"/>
        <s v="7PCS Silicone Thumb Knife Finger Protector Vegetable Harvesting Knife"/>
        <s v="5m Waterproof Spherical LED String Lights Outdoor Ball Chain Lights Party Lighting Decoration Adjustable"/>
        <s v="2 Pairs Cowhide Split Leather Work Gloves.32â„‰ Or Above Welding Gloves"/>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Black Simple Water Cup Wine Coaster Anti Slip Absorbent"/>
        <s v="Metal Decorative Hooks Key Hangers Entryway Wall Hooks Towel Hooks - Home"/>
        <s v="220V 60W Electric Soldering Iron Kits With Tools, Tips, And Multimeter"/>
        <s v="Desk Foldable Fan Adjustable Fan Strong Wind 3 Gear Usb"/>
        <s v="13 In 1 Home Repair Tools Box Kit Set"/>
        <s v="Genebre 115 In 1 Screwdriver Repairing Tool Set For IPhone Cellphone Hand Tool"/>
        <s v="Multifunction Laser Level With Adjustment Tripod"/>
        <s v="3PCS Single Head Knitting Crochet Sweater Needle Set"/>
        <s v="LED Romantic Spaceship Starry Sky Projector,Children's Bedroom Night Light-Blue"/>
        <s v="Foldable Overbed Table/Desk"/>
        <s v="LASA 3 Tier Bamboo Shoe Bench Storage Shelf"/>
        <s v="Portable Wardrobe Nonwoven With 3 Hanging Rods And 6 Storage Shelves"/>
        <s v="12 Litre Black Insulated Lunch Box"/>
        <s v="52 Pieces Cake Decorating Tool Set Gift Kit Baking Supplies"/>
        <s v="Exfoliate And Exfoliate Face Towel - Black"/>
        <s v="LED Eye Protection  Desk Lamp , Study, Reading, USB Fan - Double Pen Holder"/>
        <s v="Punch-free Great Load Bearing Bathroom Storage Rack Wall Shelf-White"/>
        <s v="Mythco 120COB Solar Wall Ligt With Motion Sensor And Remote Control 3 Modes"/>
        <s v="32PCS Portable Cordless Drill Set With Cyclic Battery Drive -26 Variable Speed"/>
        <s v="Wrought Iron Bathroom Shelf Wall Mounted Free Punch Toilet Rack"/>
        <s v="Memory Foam Neck Pillow Cover, With Pillow Core - 50*30cm"/>
        <s v="Household Pineapple Peeler Peeler"/>
        <s v="115  Piece Set Of Multifunctional Precision Screwdrivers"/>
        <s v="Portable Mini Cordless Car Vacuum Cleaner - Blue"/>
        <s v="Weighing Scale Digital Bathroom Body Fat Scale USB-Black"/>
        <s v="Portable Home Small Air Humidifier 3-Speed Fan - Green"/>
        <s v="137 Pieces Cake Decorating Tool Set Baking Supplies"/>
        <s v="LASA FOLDING TABLE SERVING STAND"/>
        <s v="100 Pcs Crochet Hook Tool Set Knitting Hook Set With Box"/>
        <s v="40cm Gold DIY Acrylic Wall Sticker Clock"/>
        <s v="LASA Digital Thermometer And Hydrometer"/>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Electronic Digital Display Vernier Caliper"/>
        <s v="12 Litre Insulated Lunch Box Grey"/>
        <s v="53Pcs/Set Yarn Knitting Crochet Hooks With Bag - Fortune Cat"/>
        <s v="53 Pieces/Set Yarn Knitting Crochet Hooks With Bag - Pansies"/>
        <s v="DIY File Folder, Office Drawer File Holder, Pen Holder, Desktop Storage Rack"/>
        <s v="Classic Black Cat Cotton Hemp Pillow Case For Home Car"/>
        <s v="1/2/3 Seater Elastic Sofa Cover,Living Room/Home Decor Chair Cover-Grey"/>
        <s v="Bedroom Simple Floor Hanging Clothes Rack Single Pole Hat Rack - White"/>
        <s v="Konka Healty Electric Kettle, 24-hour Heat Preservation,1.5L,800W, White"/>
        <s v="5 Pieces/set Of Stainless Steel Induction Cooker Pot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Agapeon Toothbrush Holder And Toothpaste Dispenser"/>
        <s v="Large Lazy Inflatable Sofa Chairs PVC Lounger Seat Bag"/>
        <s v="Watercolour Gold Foil Textured Print Pillow Cover"/>
        <s v="7-piece Set Of Storage Bags, Travel Storage Bags, Shoe Bags"/>
        <s v="Electric LED UV Mosquito Killer Lamp, Outdoor/Indoor Fly Killer Trap Light -USB"/>
        <s v="2PCS/LOT Solar LED Outdoor Intelligent Light Controlled Wall Lamp"/>
        <s v="Wall-mounted Sticker Punch-free Plug Fixer"/>
        <m/>
      </sharedItems>
    </cacheField>
    <cacheField name="Product Category " numFmtId="0">
      <sharedItems containsBlank="1"/>
    </cacheField>
    <cacheField name="Current price" numFmtId="0">
      <sharedItems containsString="0" containsBlank="1" containsNumber="1" containsInteger="1" minValue="38" maxValue="3750"/>
    </cacheField>
    <cacheField name="old price" numFmtId="0">
      <sharedItems containsString="0" containsBlank="1" containsNumber="1" containsInteger="1" minValue="80" maxValue="6143"/>
    </cacheField>
    <cacheField name="Absolute discount amount" numFmtId="0">
      <sharedItems containsString="0" containsBlank="1" containsNumber="1" containsInteger="1" minValue="24" maxValue="2585"/>
    </cacheField>
    <cacheField name="Discount percentage" numFmtId="9">
      <sharedItems containsString="0" containsBlank="1" containsNumber="1" minValue="0.01" maxValue="0.64"/>
    </cacheField>
    <cacheField name="Product Discount " numFmtId="0">
      <sharedItems containsBlank="1"/>
    </cacheField>
    <cacheField name="Review" numFmtId="0">
      <sharedItems containsString="0" containsBlank="1" containsNumber="1" containsInteger="1" minValue="1" maxValue="69"/>
    </cacheField>
    <cacheField name="Ratings" numFmtId="0">
      <sharedItems containsString="0" containsBlank="1" containsNumber="1" minValue="2" maxValue="5" count="22">
        <m/>
        <n v="4.0999999999999996"/>
        <n v="4"/>
        <n v="3.8"/>
        <n v="4.2"/>
        <n v="3.3"/>
        <n v="4.4000000000000004"/>
        <n v="3"/>
        <n v="4.5"/>
        <n v="4.5999999999999996"/>
        <n v="4.7"/>
        <n v="4.8"/>
        <n v="5"/>
        <n v="2"/>
        <n v="2.5"/>
        <n v="2.1"/>
        <n v="2.8"/>
        <n v="2.7"/>
        <n v="2.9"/>
        <n v="2.2000000000000002"/>
        <n v="2.6"/>
        <n v="2.2999999999999998"/>
      </sharedItems>
    </cacheField>
    <cacheField name="Product Rating" numFmtId="0">
      <sharedItems containsBlank="1"/>
    </cacheField>
  </cacheFields>
  <extLst>
    <ext xmlns:x14="http://schemas.microsoft.com/office/spreadsheetml/2009/9/main" uri="{725AE2AE-9491-48be-B2B4-4EB974FC3084}">
      <x14:pivotCacheDefinition pivotCacheId="9959162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n v="199"/>
    <n v="504"/>
    <n v="305"/>
    <n v="0.61"/>
    <x v="0"/>
    <m/>
    <x v="0"/>
    <x v="0"/>
  </r>
  <r>
    <x v="1"/>
    <x v="1"/>
    <n v="499"/>
    <n v="900"/>
    <n v="401"/>
    <n v="0.45"/>
    <x v="0"/>
    <m/>
    <x v="0"/>
    <x v="0"/>
  </r>
  <r>
    <x v="2"/>
    <x v="2"/>
    <n v="799"/>
    <n v="1567"/>
    <n v="768"/>
    <n v="0.49"/>
    <x v="0"/>
    <m/>
    <x v="0"/>
    <x v="0"/>
  </r>
  <r>
    <x v="1"/>
    <x v="1"/>
    <n v="399"/>
    <n v="896"/>
    <n v="497"/>
    <n v="0.55000000000000004"/>
    <x v="0"/>
    <m/>
    <x v="0"/>
    <x v="0"/>
  </r>
  <r>
    <x v="0"/>
    <x v="0"/>
    <n v="176"/>
    <n v="345"/>
    <n v="169"/>
    <n v="0.49"/>
    <x v="0"/>
    <m/>
    <x v="0"/>
    <x v="0"/>
  </r>
  <r>
    <x v="3"/>
    <x v="3"/>
    <n v="1860"/>
    <n v="3220"/>
    <n v="1360"/>
    <n v="0.42"/>
    <x v="0"/>
    <m/>
    <x v="0"/>
    <x v="0"/>
  </r>
  <r>
    <x v="4"/>
    <x v="4"/>
    <n v="2200"/>
    <n v="4080"/>
    <n v="1880"/>
    <n v="0.46"/>
    <x v="0"/>
    <m/>
    <x v="0"/>
    <x v="0"/>
  </r>
  <r>
    <x v="5"/>
    <x v="5"/>
    <n v="2750"/>
    <n v="4471"/>
    <n v="1721"/>
    <n v="0.38"/>
    <x v="1"/>
    <m/>
    <x v="0"/>
    <x v="0"/>
  </r>
  <r>
    <x v="6"/>
    <x v="6"/>
    <n v="475"/>
    <n v="931"/>
    <n v="456"/>
    <n v="0.49"/>
    <x v="0"/>
    <m/>
    <x v="0"/>
    <x v="0"/>
  </r>
  <r>
    <x v="7"/>
    <x v="1"/>
    <n v="238"/>
    <n v="476"/>
    <n v="238"/>
    <n v="0.5"/>
    <x v="0"/>
    <m/>
    <x v="0"/>
    <x v="0"/>
  </r>
  <r>
    <x v="8"/>
    <x v="6"/>
    <n v="610"/>
    <n v="1060"/>
    <n v="450"/>
    <n v="0.42"/>
    <x v="0"/>
    <m/>
    <x v="0"/>
    <x v="0"/>
  </r>
  <r>
    <x v="9"/>
    <x v="5"/>
    <n v="2132"/>
    <n v="2169"/>
    <n v="37"/>
    <n v="0.02"/>
    <x v="2"/>
    <m/>
    <x v="0"/>
    <x v="0"/>
  </r>
  <r>
    <x v="10"/>
    <x v="1"/>
    <n v="999"/>
    <n v="2000"/>
    <n v="1001"/>
    <n v="0.5"/>
    <x v="0"/>
    <m/>
    <x v="0"/>
    <x v="0"/>
  </r>
  <r>
    <x v="11"/>
    <x v="2"/>
    <n v="1190"/>
    <n v="1785"/>
    <n v="595"/>
    <n v="0.33"/>
    <x v="1"/>
    <m/>
    <x v="0"/>
    <x v="0"/>
  </r>
  <r>
    <x v="12"/>
    <x v="7"/>
    <n v="671"/>
    <n v="1316"/>
    <n v="645"/>
    <n v="0.49"/>
    <x v="0"/>
    <m/>
    <x v="0"/>
    <x v="0"/>
  </r>
  <r>
    <x v="13"/>
    <x v="8"/>
    <n v="1200"/>
    <n v="1950"/>
    <n v="750"/>
    <n v="0.38"/>
    <x v="1"/>
    <m/>
    <x v="0"/>
    <x v="0"/>
  </r>
  <r>
    <x v="14"/>
    <x v="2"/>
    <n v="299"/>
    <n v="600"/>
    <n v="301"/>
    <n v="0.5"/>
    <x v="0"/>
    <m/>
    <x v="0"/>
    <x v="0"/>
  </r>
  <r>
    <x v="15"/>
    <x v="2"/>
    <n v="1660"/>
    <n v="1699"/>
    <n v="39"/>
    <n v="0.02"/>
    <x v="2"/>
    <m/>
    <x v="0"/>
    <x v="0"/>
  </r>
  <r>
    <x v="16"/>
    <x v="4"/>
    <n v="299"/>
    <n v="384"/>
    <n v="85"/>
    <n v="0.22"/>
    <x v="1"/>
    <m/>
    <x v="0"/>
    <x v="0"/>
  </r>
  <r>
    <x v="17"/>
    <x v="3"/>
    <n v="1459"/>
    <n v="1499"/>
    <n v="40"/>
    <n v="0.03"/>
    <x v="2"/>
    <m/>
    <x v="0"/>
    <x v="0"/>
  </r>
  <r>
    <x v="18"/>
    <x v="1"/>
    <n v="799"/>
    <n v="1343"/>
    <n v="544"/>
    <n v="0.41"/>
    <x v="0"/>
    <m/>
    <x v="0"/>
    <x v="0"/>
  </r>
  <r>
    <x v="19"/>
    <x v="1"/>
    <n v="699"/>
    <n v="1343"/>
    <n v="644"/>
    <n v="0.48"/>
    <x v="0"/>
    <m/>
    <x v="0"/>
    <x v="0"/>
  </r>
  <r>
    <x v="20"/>
    <x v="2"/>
    <n v="2799"/>
    <n v="3810"/>
    <n v="1011"/>
    <n v="0.27"/>
    <x v="1"/>
    <m/>
    <x v="0"/>
    <x v="0"/>
  </r>
  <r>
    <x v="21"/>
    <x v="3"/>
    <n v="690"/>
    <n v="1200"/>
    <n v="510"/>
    <n v="0.43"/>
    <x v="0"/>
    <m/>
    <x v="0"/>
    <x v="0"/>
  </r>
  <r>
    <x v="22"/>
    <x v="6"/>
    <n v="1732"/>
    <n v="1799"/>
    <n v="67"/>
    <n v="0.04"/>
    <x v="2"/>
    <m/>
    <x v="0"/>
    <x v="0"/>
  </r>
  <r>
    <x v="23"/>
    <x v="9"/>
    <n v="230"/>
    <n v="450"/>
    <n v="220"/>
    <n v="0.49"/>
    <x v="0"/>
    <m/>
    <x v="0"/>
    <x v="0"/>
  </r>
  <r>
    <x v="24"/>
    <x v="1"/>
    <n v="1460"/>
    <n v="2290"/>
    <n v="830"/>
    <n v="0.36"/>
    <x v="1"/>
    <m/>
    <x v="0"/>
    <x v="0"/>
  </r>
  <r>
    <x v="25"/>
    <x v="10"/>
    <n v="1666"/>
    <n v="1699"/>
    <n v="33"/>
    <n v="0.02"/>
    <x v="2"/>
    <m/>
    <x v="0"/>
    <x v="0"/>
  </r>
  <r>
    <x v="26"/>
    <x v="1"/>
    <n v="1466"/>
    <n v="1699"/>
    <n v="233"/>
    <n v="0.14000000000000001"/>
    <x v="2"/>
    <m/>
    <x v="0"/>
    <x v="0"/>
  </r>
  <r>
    <x v="27"/>
    <x v="1"/>
    <n v="274"/>
    <n v="537"/>
    <n v="263"/>
    <n v="0.49"/>
    <x v="0"/>
    <m/>
    <x v="0"/>
    <x v="0"/>
  </r>
  <r>
    <x v="28"/>
    <x v="9"/>
    <n v="799"/>
    <n v="900"/>
    <n v="101"/>
    <n v="0.11"/>
    <x v="2"/>
    <m/>
    <x v="0"/>
    <x v="0"/>
  </r>
  <r>
    <x v="29"/>
    <x v="5"/>
    <n v="1468"/>
    <n v="1699"/>
    <n v="231"/>
    <n v="0.14000000000000001"/>
    <x v="2"/>
    <m/>
    <x v="0"/>
    <x v="0"/>
  </r>
  <r>
    <x v="30"/>
    <x v="4"/>
    <n v="630"/>
    <n v="1100"/>
    <n v="470"/>
    <n v="0.43"/>
    <x v="0"/>
    <m/>
    <x v="0"/>
    <x v="0"/>
  </r>
  <r>
    <x v="31"/>
    <x v="1"/>
    <n v="850"/>
    <n v="1700"/>
    <n v="850"/>
    <n v="0.5"/>
    <x v="0"/>
    <m/>
    <x v="0"/>
    <x v="0"/>
  </r>
  <r>
    <x v="32"/>
    <x v="9"/>
    <n v="1300"/>
    <n v="2500"/>
    <n v="1200"/>
    <n v="0.48"/>
    <x v="0"/>
    <m/>
    <x v="0"/>
    <x v="0"/>
  </r>
  <r>
    <x v="33"/>
    <x v="2"/>
    <n v="105"/>
    <n v="200"/>
    <n v="95"/>
    <n v="0.48"/>
    <x v="0"/>
    <m/>
    <x v="0"/>
    <x v="0"/>
  </r>
  <r>
    <x v="34"/>
    <x v="4"/>
    <n v="899"/>
    <n v="1699"/>
    <n v="800"/>
    <n v="0.47"/>
    <x v="0"/>
    <m/>
    <x v="0"/>
    <x v="0"/>
  </r>
  <r>
    <x v="35"/>
    <x v="1"/>
    <n v="1200"/>
    <n v="2400"/>
    <n v="1200"/>
    <n v="0.5"/>
    <x v="0"/>
    <m/>
    <x v="0"/>
    <x v="0"/>
  </r>
  <r>
    <x v="36"/>
    <x v="5"/>
    <n v="1526"/>
    <n v="1660"/>
    <n v="134"/>
    <n v="0.08"/>
    <x v="2"/>
    <m/>
    <x v="0"/>
    <x v="0"/>
  </r>
  <r>
    <x v="37"/>
    <x v="2"/>
    <n v="1462"/>
    <n v="1499"/>
    <n v="37"/>
    <n v="0.02"/>
    <x v="2"/>
    <m/>
    <x v="0"/>
    <x v="0"/>
  </r>
  <r>
    <x v="38"/>
    <x v="3"/>
    <n v="248"/>
    <n v="486"/>
    <n v="238"/>
    <n v="0.49"/>
    <x v="0"/>
    <m/>
    <x v="0"/>
    <x v="0"/>
  </r>
  <r>
    <x v="39"/>
    <x v="1"/>
    <n v="3546"/>
    <n v="3699"/>
    <n v="153"/>
    <n v="0.04"/>
    <x v="2"/>
    <m/>
    <x v="0"/>
    <x v="0"/>
  </r>
  <r>
    <x v="40"/>
    <x v="11"/>
    <n v="525"/>
    <n v="1029"/>
    <n v="504"/>
    <n v="0.49"/>
    <x v="0"/>
    <m/>
    <x v="0"/>
    <x v="0"/>
  </r>
  <r>
    <x v="41"/>
    <x v="2"/>
    <n v="1080"/>
    <n v="1874"/>
    <n v="794"/>
    <n v="0.42"/>
    <x v="0"/>
    <m/>
    <x v="0"/>
    <x v="0"/>
  </r>
  <r>
    <x v="42"/>
    <x v="10"/>
    <n v="1420"/>
    <n v="2420"/>
    <n v="1000"/>
    <n v="0.41"/>
    <x v="0"/>
    <m/>
    <x v="0"/>
    <x v="0"/>
  </r>
  <r>
    <x v="43"/>
    <x v="4"/>
    <n v="1875"/>
    <n v="1899"/>
    <n v="24"/>
    <n v="0.01"/>
    <x v="2"/>
    <m/>
    <x v="0"/>
    <x v="0"/>
  </r>
  <r>
    <x v="44"/>
    <x v="4"/>
    <n v="198"/>
    <n v="260"/>
    <n v="62"/>
    <n v="0.24"/>
    <x v="1"/>
    <m/>
    <x v="0"/>
    <x v="0"/>
  </r>
  <r>
    <x v="45"/>
    <x v="8"/>
    <n v="1150"/>
    <n v="1737"/>
    <n v="587"/>
    <n v="0.34"/>
    <x v="1"/>
    <m/>
    <x v="0"/>
    <x v="0"/>
  </r>
  <r>
    <x v="46"/>
    <x v="9"/>
    <n v="1190"/>
    <n v="1810"/>
    <n v="620"/>
    <n v="0.34"/>
    <x v="1"/>
    <m/>
    <x v="0"/>
    <x v="0"/>
  </r>
  <r>
    <x v="47"/>
    <x v="6"/>
    <n v="1658"/>
    <n v="1699"/>
    <n v="41"/>
    <n v="0.02"/>
    <x v="2"/>
    <m/>
    <x v="0"/>
    <x v="0"/>
  </r>
  <r>
    <x v="48"/>
    <x v="6"/>
    <n v="1768"/>
    <n v="1799"/>
    <n v="31"/>
    <n v="0.02"/>
    <x v="2"/>
    <m/>
    <x v="0"/>
    <x v="0"/>
  </r>
  <r>
    <x v="49"/>
    <x v="3"/>
    <n v="199"/>
    <n v="553"/>
    <n v="354"/>
    <n v="0.64"/>
    <x v="0"/>
    <m/>
    <x v="0"/>
    <x v="0"/>
  </r>
  <r>
    <x v="50"/>
    <x v="6"/>
    <n v="169"/>
    <n v="320"/>
    <n v="151"/>
    <n v="0.47"/>
    <x v="0"/>
    <m/>
    <x v="0"/>
    <x v="0"/>
  </r>
  <r>
    <x v="51"/>
    <x v="1"/>
    <n v="527"/>
    <n v="999"/>
    <n v="472"/>
    <n v="0.47"/>
    <x v="0"/>
    <n v="14"/>
    <x v="1"/>
    <x v="1"/>
  </r>
  <r>
    <x v="52"/>
    <x v="2"/>
    <n v="2999"/>
    <n v="3290"/>
    <n v="291"/>
    <n v="0.09"/>
    <x v="2"/>
    <n v="15"/>
    <x v="2"/>
    <x v="1"/>
  </r>
  <r>
    <x v="53"/>
    <x v="8"/>
    <n v="988"/>
    <n v="1580"/>
    <n v="592"/>
    <n v="0.37"/>
    <x v="1"/>
    <n v="2"/>
    <x v="2"/>
    <x v="1"/>
  </r>
  <r>
    <x v="54"/>
    <x v="2"/>
    <n v="1600"/>
    <n v="2929"/>
    <n v="1329"/>
    <n v="0.45"/>
    <x v="0"/>
    <n v="5"/>
    <x v="3"/>
    <x v="1"/>
  </r>
  <r>
    <x v="55"/>
    <x v="2"/>
    <n v="799"/>
    <n v="999"/>
    <n v="200"/>
    <n v="0.2"/>
    <x v="1"/>
    <n v="12"/>
    <x v="1"/>
    <x v="1"/>
  </r>
  <r>
    <x v="56"/>
    <x v="2"/>
    <n v="1680"/>
    <n v="2499"/>
    <n v="819"/>
    <n v="0.33"/>
    <x v="1"/>
    <n v="9"/>
    <x v="4"/>
    <x v="1"/>
  </r>
  <r>
    <x v="57"/>
    <x v="12"/>
    <n v="38"/>
    <n v="80"/>
    <n v="42"/>
    <n v="0.53"/>
    <x v="0"/>
    <n v="13"/>
    <x v="5"/>
    <x v="1"/>
  </r>
  <r>
    <x v="58"/>
    <x v="8"/>
    <n v="880"/>
    <n v="1350"/>
    <n v="470"/>
    <n v="0.35"/>
    <x v="1"/>
    <n v="6"/>
    <x v="2"/>
    <x v="1"/>
  </r>
  <r>
    <x v="59"/>
    <x v="9"/>
    <n v="1650"/>
    <n v="2150"/>
    <n v="500"/>
    <n v="0.23"/>
    <x v="1"/>
    <n v="14"/>
    <x v="6"/>
    <x v="1"/>
  </r>
  <r>
    <x v="60"/>
    <x v="4"/>
    <n v="2048"/>
    <n v="4500"/>
    <n v="2452"/>
    <n v="0.54"/>
    <x v="0"/>
    <n v="7"/>
    <x v="5"/>
    <x v="1"/>
  </r>
  <r>
    <x v="61"/>
    <x v="4"/>
    <n v="2880"/>
    <n v="3520"/>
    <n v="640"/>
    <n v="0.18"/>
    <x v="2"/>
    <n v="12"/>
    <x v="3"/>
    <x v="1"/>
  </r>
  <r>
    <x v="62"/>
    <x v="3"/>
    <n v="1350"/>
    <n v="1990"/>
    <n v="640"/>
    <n v="0.32"/>
    <x v="1"/>
    <n v="13"/>
    <x v="3"/>
    <x v="1"/>
  </r>
  <r>
    <x v="63"/>
    <x v="2"/>
    <n v="1758"/>
    <n v="2499"/>
    <n v="741"/>
    <n v="0.3"/>
    <x v="1"/>
    <n v="20"/>
    <x v="1"/>
    <x v="1"/>
  </r>
  <r>
    <x v="64"/>
    <x v="6"/>
    <n v="185"/>
    <n v="382"/>
    <n v="197"/>
    <n v="0.52"/>
    <x v="0"/>
    <n v="9"/>
    <x v="5"/>
    <x v="1"/>
  </r>
  <r>
    <x v="65"/>
    <x v="8"/>
    <n v="1820"/>
    <n v="3490"/>
    <n v="1670"/>
    <n v="0.48"/>
    <x v="0"/>
    <n v="9"/>
    <x v="5"/>
    <x v="1"/>
  </r>
  <r>
    <x v="66"/>
    <x v="4"/>
    <n v="389"/>
    <n v="656"/>
    <n v="267"/>
    <n v="0.41"/>
    <x v="0"/>
    <n v="36"/>
    <x v="5"/>
    <x v="1"/>
  </r>
  <r>
    <x v="67"/>
    <x v="8"/>
    <n v="458"/>
    <n v="986"/>
    <n v="528"/>
    <n v="0.54"/>
    <x v="0"/>
    <n v="10"/>
    <x v="7"/>
    <x v="1"/>
  </r>
  <r>
    <x v="68"/>
    <x v="2"/>
    <n v="3750"/>
    <n v="6143"/>
    <n v="2393"/>
    <n v="0.39"/>
    <x v="1"/>
    <n v="5"/>
    <x v="7"/>
    <x v="1"/>
  </r>
  <r>
    <x v="69"/>
    <x v="4"/>
    <n v="509"/>
    <n v="899"/>
    <n v="390"/>
    <n v="0.43"/>
    <x v="0"/>
    <n v="5"/>
    <x v="7"/>
    <x v="1"/>
  </r>
  <r>
    <x v="70"/>
    <x v="1"/>
    <n v="1189"/>
    <n v="2199"/>
    <n v="1010"/>
    <n v="0.46"/>
    <x v="0"/>
    <n v="1"/>
    <x v="7"/>
    <x v="1"/>
  </r>
  <r>
    <x v="71"/>
    <x v="3"/>
    <n v="330"/>
    <n v="647"/>
    <n v="317"/>
    <n v="0.49"/>
    <x v="0"/>
    <n v="1"/>
    <x v="2"/>
    <x v="1"/>
  </r>
  <r>
    <x v="72"/>
    <x v="2"/>
    <n v="950"/>
    <n v="1525"/>
    <n v="575"/>
    <n v="0.38"/>
    <x v="1"/>
    <n v="2"/>
    <x v="8"/>
    <x v="2"/>
  </r>
  <r>
    <x v="73"/>
    <x v="7"/>
    <n v="2199"/>
    <n v="2923"/>
    <n v="724"/>
    <n v="0.25"/>
    <x v="1"/>
    <n v="24"/>
    <x v="9"/>
    <x v="2"/>
  </r>
  <r>
    <x v="74"/>
    <x v="6"/>
    <n v="1580"/>
    <n v="2499"/>
    <n v="919"/>
    <n v="0.37"/>
    <x v="1"/>
    <n v="7"/>
    <x v="10"/>
    <x v="2"/>
  </r>
  <r>
    <x v="75"/>
    <x v="8"/>
    <n v="1740"/>
    <n v="2356"/>
    <n v="616"/>
    <n v="0.26"/>
    <x v="1"/>
    <n v="5"/>
    <x v="11"/>
    <x v="2"/>
  </r>
  <r>
    <x v="76"/>
    <x v="2"/>
    <n v="2319"/>
    <n v="3032"/>
    <n v="713"/>
    <n v="0.24"/>
    <x v="1"/>
    <n v="55"/>
    <x v="9"/>
    <x v="2"/>
  </r>
  <r>
    <x v="77"/>
    <x v="9"/>
    <n v="1274"/>
    <n v="2800"/>
    <n v="1526"/>
    <n v="0.55000000000000004"/>
    <x v="0"/>
    <n v="5"/>
    <x v="11"/>
    <x v="2"/>
  </r>
  <r>
    <x v="78"/>
    <x v="2"/>
    <n v="990"/>
    <n v="1500"/>
    <n v="510"/>
    <n v="0.34"/>
    <x v="1"/>
    <n v="39"/>
    <x v="10"/>
    <x v="2"/>
  </r>
  <r>
    <x v="79"/>
    <x v="1"/>
    <n v="552"/>
    <n v="1035"/>
    <n v="483"/>
    <n v="0.47"/>
    <x v="0"/>
    <n v="12"/>
    <x v="11"/>
    <x v="2"/>
  </r>
  <r>
    <x v="80"/>
    <x v="5"/>
    <n v="501"/>
    <n v="860"/>
    <n v="359"/>
    <n v="0.42"/>
    <x v="0"/>
    <n v="6"/>
    <x v="8"/>
    <x v="2"/>
  </r>
  <r>
    <x v="81"/>
    <x v="6"/>
    <n v="332"/>
    <n v="684"/>
    <n v="352"/>
    <n v="0.51"/>
    <x v="0"/>
    <n v="2"/>
    <x v="12"/>
    <x v="2"/>
  </r>
  <r>
    <x v="82"/>
    <x v="1"/>
    <n v="195"/>
    <n v="360"/>
    <n v="165"/>
    <n v="0.46"/>
    <x v="0"/>
    <n v="2"/>
    <x v="12"/>
    <x v="2"/>
  </r>
  <r>
    <x v="83"/>
    <x v="9"/>
    <n v="2025"/>
    <n v="3971"/>
    <n v="1946"/>
    <n v="0.49"/>
    <x v="0"/>
    <n v="3"/>
    <x v="12"/>
    <x v="2"/>
  </r>
  <r>
    <x v="84"/>
    <x v="1"/>
    <n v="2999"/>
    <n v="3699"/>
    <n v="700"/>
    <n v="0.19"/>
    <x v="2"/>
    <n v="5"/>
    <x v="9"/>
    <x v="2"/>
  </r>
  <r>
    <x v="85"/>
    <x v="1"/>
    <n v="998"/>
    <n v="1966"/>
    <n v="968"/>
    <n v="0.49"/>
    <x v="0"/>
    <n v="44"/>
    <x v="9"/>
    <x v="2"/>
  </r>
  <r>
    <x v="86"/>
    <x v="2"/>
    <n v="420"/>
    <n v="647"/>
    <n v="227"/>
    <n v="0.35"/>
    <x v="1"/>
    <n v="49"/>
    <x v="9"/>
    <x v="2"/>
  </r>
  <r>
    <x v="87"/>
    <x v="3"/>
    <n v="980"/>
    <n v="1490"/>
    <n v="510"/>
    <n v="0.34"/>
    <x v="1"/>
    <n v="12"/>
    <x v="10"/>
    <x v="2"/>
  </r>
  <r>
    <x v="88"/>
    <x v="4"/>
    <n v="1940"/>
    <n v="2650"/>
    <n v="710"/>
    <n v="0.27"/>
    <x v="1"/>
    <n v="20"/>
    <x v="10"/>
    <x v="2"/>
  </r>
  <r>
    <x v="89"/>
    <x v="4"/>
    <n v="1980"/>
    <n v="2699"/>
    <n v="719"/>
    <n v="0.27"/>
    <x v="1"/>
    <n v="32"/>
    <x v="8"/>
    <x v="2"/>
  </r>
  <r>
    <x v="90"/>
    <x v="4"/>
    <n v="1620"/>
    <n v="2690"/>
    <n v="1070"/>
    <n v="0.4"/>
    <x v="1"/>
    <n v="1"/>
    <x v="12"/>
    <x v="2"/>
  </r>
  <r>
    <x v="91"/>
    <x v="1"/>
    <n v="171"/>
    <n v="360"/>
    <n v="189"/>
    <n v="0.53"/>
    <x v="0"/>
    <n v="2"/>
    <x v="12"/>
    <x v="2"/>
  </r>
  <r>
    <x v="92"/>
    <x v="1"/>
    <n v="1980"/>
    <n v="3200"/>
    <n v="1220"/>
    <n v="0.38"/>
    <x v="1"/>
    <n v="2"/>
    <x v="8"/>
    <x v="2"/>
  </r>
  <r>
    <x v="93"/>
    <x v="4"/>
    <n v="979"/>
    <n v="1920"/>
    <n v="941"/>
    <n v="0.49"/>
    <x v="0"/>
    <n v="1"/>
    <x v="12"/>
    <x v="2"/>
  </r>
  <r>
    <x v="94"/>
    <x v="3"/>
    <n v="3640"/>
    <n v="4588"/>
    <n v="948"/>
    <n v="0.21"/>
    <x v="1"/>
    <n v="1"/>
    <x v="12"/>
    <x v="2"/>
  </r>
  <r>
    <x v="2"/>
    <x v="2"/>
    <n v="657"/>
    <n v="1288"/>
    <n v="631"/>
    <n v="0.49"/>
    <x v="0"/>
    <m/>
    <x v="13"/>
    <x v="3"/>
  </r>
  <r>
    <x v="95"/>
    <x v="3"/>
    <n v="2170"/>
    <n v="2500"/>
    <n v="330"/>
    <n v="0.13"/>
    <x v="2"/>
    <n v="6"/>
    <x v="14"/>
    <x v="3"/>
  </r>
  <r>
    <x v="96"/>
    <x v="3"/>
    <n v="2115"/>
    <n v="4700"/>
    <n v="2585"/>
    <n v="0.55000000000000004"/>
    <x v="0"/>
    <n v="13"/>
    <x v="15"/>
    <x v="3"/>
  </r>
  <r>
    <x v="97"/>
    <x v="7"/>
    <n v="445"/>
    <n v="873"/>
    <n v="428"/>
    <n v="0.49"/>
    <x v="0"/>
    <n v="69"/>
    <x v="15"/>
    <x v="3"/>
  </r>
  <r>
    <x v="98"/>
    <x v="8"/>
    <n v="325"/>
    <n v="680"/>
    <n v="355"/>
    <n v="0.52"/>
    <x v="0"/>
    <n v="15"/>
    <x v="16"/>
    <x v="3"/>
  </r>
  <r>
    <x v="99"/>
    <x v="7"/>
    <n v="1220"/>
    <n v="1555"/>
    <n v="335"/>
    <n v="0.22"/>
    <x v="1"/>
    <n v="16"/>
    <x v="17"/>
    <x v="3"/>
  </r>
  <r>
    <x v="100"/>
    <x v="1"/>
    <n v="990"/>
    <n v="1814"/>
    <n v="824"/>
    <n v="0.45"/>
    <x v="0"/>
    <n v="6"/>
    <x v="18"/>
    <x v="3"/>
  </r>
  <r>
    <x v="101"/>
    <x v="3"/>
    <n v="1000"/>
    <n v="2000"/>
    <n v="1000"/>
    <n v="0.5"/>
    <x v="0"/>
    <n v="7"/>
    <x v="19"/>
    <x v="3"/>
  </r>
  <r>
    <x v="102"/>
    <x v="5"/>
    <n v="382"/>
    <n v="700"/>
    <n v="318"/>
    <n v="0.45"/>
    <x v="0"/>
    <n v="17"/>
    <x v="20"/>
    <x v="3"/>
  </r>
  <r>
    <x v="103"/>
    <x v="4"/>
    <n v="2300"/>
    <n v="3240"/>
    <n v="940"/>
    <n v="0.28999999999999998"/>
    <x v="1"/>
    <n v="5"/>
    <x v="20"/>
    <x v="3"/>
  </r>
  <r>
    <x v="104"/>
    <x v="1"/>
    <n v="345"/>
    <n v="602"/>
    <n v="257"/>
    <n v="0.43"/>
    <x v="0"/>
    <n v="6"/>
    <x v="21"/>
    <x v="3"/>
  </r>
  <r>
    <x v="105"/>
    <x v="4"/>
    <n v="968"/>
    <n v="1814"/>
    <n v="846"/>
    <n v="0.47"/>
    <x v="0"/>
    <n v="6"/>
    <x v="19"/>
    <x v="3"/>
  </r>
  <r>
    <x v="106"/>
    <x v="5"/>
    <n v="1570"/>
    <n v="2988"/>
    <n v="1418"/>
    <n v="0.47"/>
    <x v="0"/>
    <n v="7"/>
    <x v="19"/>
    <x v="3"/>
  </r>
  <r>
    <x v="107"/>
    <x v="8"/>
    <n v="790"/>
    <n v="1485"/>
    <n v="695"/>
    <n v="0.47"/>
    <x v="0"/>
    <m/>
    <x v="15"/>
    <x v="3"/>
  </r>
  <r>
    <x v="108"/>
    <x v="1"/>
    <n v="450"/>
    <n v="900"/>
    <n v="450"/>
    <n v="0.5"/>
    <x v="0"/>
    <n v="1"/>
    <x v="1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s v="Fashion Accessories"/>
    <n v="199"/>
    <n v="504"/>
    <n v="305"/>
    <n v="0.61"/>
    <s v="High Discount"/>
    <m/>
    <x v="0"/>
    <s v="No rating"/>
  </r>
  <r>
    <x v="1"/>
    <s v="Home Decor &amp; Furnishings"/>
    <n v="499"/>
    <n v="900"/>
    <n v="401"/>
    <n v="0.45"/>
    <s v="High Discount"/>
    <m/>
    <x v="0"/>
    <s v="No rating"/>
  </r>
  <r>
    <x v="2"/>
    <s v="Tools &amp; Hardware"/>
    <n v="799"/>
    <n v="1567"/>
    <n v="768"/>
    <n v="0.49"/>
    <s v="High Discount"/>
    <m/>
    <x v="0"/>
    <s v="No rating"/>
  </r>
  <r>
    <x v="1"/>
    <s v="Home Decor &amp; Furnishings"/>
    <n v="399"/>
    <n v="896"/>
    <n v="497"/>
    <n v="0.55000000000000004"/>
    <s v="High Discount"/>
    <m/>
    <x v="0"/>
    <s v="No rating"/>
  </r>
  <r>
    <x v="0"/>
    <s v="Fashion Accessories"/>
    <n v="176"/>
    <n v="345"/>
    <n v="169"/>
    <n v="0.49"/>
    <s v="High Discount"/>
    <m/>
    <x v="0"/>
    <s v="No rating"/>
  </r>
  <r>
    <x v="3"/>
    <s v="Kitchen &amp; Dining"/>
    <n v="1860"/>
    <n v="3220"/>
    <n v="1360"/>
    <n v="0.42"/>
    <s v="High Discount"/>
    <m/>
    <x v="0"/>
    <s v="No rating"/>
  </r>
  <r>
    <x v="4"/>
    <s v="Storage &amp; Organization"/>
    <n v="2200"/>
    <n v="4080"/>
    <n v="1880"/>
    <n v="0.46"/>
    <s v="High Discount"/>
    <m/>
    <x v="0"/>
    <s v="No rating"/>
  </r>
  <r>
    <x v="5"/>
    <s v="Health, Personal Care &amp; Bathroom"/>
    <n v="2750"/>
    <n v="4471"/>
    <n v="1721"/>
    <n v="0.38"/>
    <s v="Medium Discount"/>
    <m/>
    <x v="0"/>
    <s v="No rating"/>
  </r>
  <r>
    <x v="6"/>
    <s v="General Household Items"/>
    <n v="475"/>
    <n v="931"/>
    <n v="456"/>
    <n v="0.49"/>
    <s v="High Discount"/>
    <m/>
    <x v="0"/>
    <s v="No rating"/>
  </r>
  <r>
    <x v="7"/>
    <s v="Home Decor &amp; Furnishings"/>
    <n v="238"/>
    <n v="476"/>
    <n v="238"/>
    <n v="0.5"/>
    <s v="High Discount"/>
    <m/>
    <x v="0"/>
    <s v="No rating"/>
  </r>
  <r>
    <x v="8"/>
    <s v="General Household Items"/>
    <n v="610"/>
    <n v="1060"/>
    <n v="450"/>
    <n v="0.42"/>
    <s v="High Discount"/>
    <m/>
    <x v="0"/>
    <s v="No rating"/>
  </r>
  <r>
    <x v="9"/>
    <s v="Health, Personal Care &amp; Bathroom"/>
    <n v="2132"/>
    <n v="2169"/>
    <n v="37"/>
    <n v="0.02"/>
    <s v="Low Discount"/>
    <m/>
    <x v="0"/>
    <s v="No rating"/>
  </r>
  <r>
    <x v="10"/>
    <s v="Home Decor &amp; Furnishings"/>
    <n v="999"/>
    <n v="2000"/>
    <n v="1001"/>
    <n v="0.5"/>
    <s v="High Discount"/>
    <m/>
    <x v="0"/>
    <s v="No rating"/>
  </r>
  <r>
    <x v="11"/>
    <s v="Tools &amp; Hardware"/>
    <n v="1190"/>
    <n v="1785"/>
    <n v="595"/>
    <n v="0.33"/>
    <s v="Medium Discount"/>
    <m/>
    <x v="0"/>
    <s v="No rating"/>
  </r>
  <r>
    <x v="12"/>
    <s v="Automotive Accessories"/>
    <n v="671"/>
    <n v="1316"/>
    <n v="645"/>
    <n v="0.49"/>
    <s v="High Discount"/>
    <m/>
    <x v="0"/>
    <s v="No rating"/>
  </r>
  <r>
    <x v="13"/>
    <s v="Electrical &amp; Lighting"/>
    <n v="1200"/>
    <n v="1950"/>
    <n v="750"/>
    <n v="0.38"/>
    <s v="Medium Discount"/>
    <m/>
    <x v="0"/>
    <s v="No rating"/>
  </r>
  <r>
    <x v="14"/>
    <s v="Tools &amp; Hardware"/>
    <n v="299"/>
    <n v="600"/>
    <n v="301"/>
    <n v="0.5"/>
    <s v="High Discount"/>
    <m/>
    <x v="0"/>
    <s v="No rating"/>
  </r>
  <r>
    <x v="15"/>
    <s v="Tools &amp; Hardware"/>
    <n v="1660"/>
    <n v="1699"/>
    <n v="39"/>
    <n v="0.02"/>
    <s v="Low Discount"/>
    <m/>
    <x v="0"/>
    <s v="No rating"/>
  </r>
  <r>
    <x v="16"/>
    <s v="Storage &amp; Organization"/>
    <n v="299"/>
    <n v="384"/>
    <n v="85"/>
    <n v="0.22"/>
    <s v="Medium Discount"/>
    <m/>
    <x v="0"/>
    <s v="No rating"/>
  </r>
  <r>
    <x v="17"/>
    <s v="Kitchen &amp; Dining"/>
    <n v="1459"/>
    <n v="1499"/>
    <n v="40"/>
    <n v="0.03"/>
    <s v="Low Discount"/>
    <m/>
    <x v="0"/>
    <s v="No rating"/>
  </r>
  <r>
    <x v="18"/>
    <s v="Home Decor &amp; Furnishings"/>
    <n v="799"/>
    <n v="1343"/>
    <n v="544"/>
    <n v="0.41"/>
    <s v="High Discount"/>
    <m/>
    <x v="0"/>
    <s v="No rating"/>
  </r>
  <r>
    <x v="19"/>
    <s v="Home Decor &amp; Furnishings"/>
    <n v="699"/>
    <n v="1343"/>
    <n v="644"/>
    <n v="0.48"/>
    <s v="High Discount"/>
    <m/>
    <x v="0"/>
    <s v="No rating"/>
  </r>
  <r>
    <x v="20"/>
    <s v="Tools &amp; Hardware"/>
    <n v="2799"/>
    <n v="3810"/>
    <n v="1011"/>
    <n v="0.27"/>
    <s v="Medium Discount"/>
    <m/>
    <x v="0"/>
    <s v="No rating"/>
  </r>
  <r>
    <x v="21"/>
    <s v="Kitchen &amp; Dining"/>
    <n v="690"/>
    <n v="1200"/>
    <n v="510"/>
    <n v="0.43"/>
    <s v="High Discount"/>
    <m/>
    <x v="0"/>
    <s v="No rating"/>
  </r>
  <r>
    <x v="22"/>
    <s v="General Household Items"/>
    <n v="1732"/>
    <n v="1799"/>
    <n v="67"/>
    <n v="0.04"/>
    <s v="Low Discount"/>
    <m/>
    <x v="0"/>
    <s v="No rating"/>
  </r>
  <r>
    <x v="23"/>
    <s v="Furniture"/>
    <n v="230"/>
    <n v="450"/>
    <n v="220"/>
    <n v="0.49"/>
    <s v="High Discount"/>
    <m/>
    <x v="0"/>
    <s v="No rating"/>
  </r>
  <r>
    <x v="24"/>
    <s v="Home Decor &amp; Furnishings"/>
    <n v="1460"/>
    <n v="2290"/>
    <n v="830"/>
    <n v="0.36"/>
    <s v="Medium Discount"/>
    <m/>
    <x v="0"/>
    <s v="No rating"/>
  </r>
  <r>
    <x v="25"/>
    <s v="Safety &amp; Protective Equipment"/>
    <n v="1666"/>
    <n v="1699"/>
    <n v="33"/>
    <n v="0.02"/>
    <s v="Low Discount"/>
    <m/>
    <x v="0"/>
    <s v="No rating"/>
  </r>
  <r>
    <x v="26"/>
    <s v="Home Decor &amp; Furnishings"/>
    <n v="1466"/>
    <n v="1699"/>
    <n v="233"/>
    <n v="0.14000000000000001"/>
    <s v="Low Discount"/>
    <m/>
    <x v="0"/>
    <s v="No rating"/>
  </r>
  <r>
    <x v="27"/>
    <s v="Home Decor &amp; Furnishings"/>
    <n v="274"/>
    <n v="537"/>
    <n v="263"/>
    <n v="0.49"/>
    <s v="High Discount"/>
    <m/>
    <x v="0"/>
    <s v="No rating"/>
  </r>
  <r>
    <x v="28"/>
    <s v="Furniture"/>
    <n v="799"/>
    <n v="900"/>
    <n v="101"/>
    <n v="0.11"/>
    <s v="Low Discount"/>
    <m/>
    <x v="0"/>
    <s v="No rating"/>
  </r>
  <r>
    <x v="29"/>
    <s v="Health, Personal Care &amp; Bathroom"/>
    <n v="1468"/>
    <n v="1699"/>
    <n v="231"/>
    <n v="0.14000000000000001"/>
    <s v="Low Discount"/>
    <m/>
    <x v="0"/>
    <s v="No rating"/>
  </r>
  <r>
    <x v="30"/>
    <s v="Storage &amp; Organization"/>
    <n v="630"/>
    <n v="1100"/>
    <n v="470"/>
    <n v="0.43"/>
    <s v="High Discount"/>
    <m/>
    <x v="0"/>
    <s v="No rating"/>
  </r>
  <r>
    <x v="31"/>
    <s v="Home Decor &amp; Furnishings"/>
    <n v="850"/>
    <n v="1700"/>
    <n v="850"/>
    <n v="0.5"/>
    <s v="High Discount"/>
    <m/>
    <x v="0"/>
    <s v="No rating"/>
  </r>
  <r>
    <x v="32"/>
    <s v="Furniture"/>
    <n v="1300"/>
    <n v="2500"/>
    <n v="1200"/>
    <n v="0.48"/>
    <s v="High Discount"/>
    <m/>
    <x v="0"/>
    <s v="No rating"/>
  </r>
  <r>
    <x v="33"/>
    <s v="Tools &amp; Hardware"/>
    <n v="105"/>
    <n v="200"/>
    <n v="95"/>
    <n v="0.48"/>
    <s v="High Discount"/>
    <m/>
    <x v="0"/>
    <s v="No rating"/>
  </r>
  <r>
    <x v="34"/>
    <s v="Storage &amp; Organization"/>
    <n v="899"/>
    <n v="1699"/>
    <n v="800"/>
    <n v="0.47"/>
    <s v="High Discount"/>
    <m/>
    <x v="0"/>
    <s v="No rating"/>
  </r>
  <r>
    <x v="35"/>
    <s v="Home Decor &amp; Furnishings"/>
    <n v="1200"/>
    <n v="2400"/>
    <n v="1200"/>
    <n v="0.5"/>
    <s v="High Discount"/>
    <m/>
    <x v="0"/>
    <s v="No rating"/>
  </r>
  <r>
    <x v="36"/>
    <s v="Health, Personal Care &amp; Bathroom"/>
    <n v="1526"/>
    <n v="1660"/>
    <n v="134"/>
    <n v="0.08"/>
    <s v="Low Discount"/>
    <m/>
    <x v="0"/>
    <s v="No rating"/>
  </r>
  <r>
    <x v="37"/>
    <s v="Tools &amp; Hardware"/>
    <n v="1462"/>
    <n v="1499"/>
    <n v="37"/>
    <n v="0.02"/>
    <s v="Low Discount"/>
    <m/>
    <x v="0"/>
    <s v="No rating"/>
  </r>
  <r>
    <x v="38"/>
    <s v="Kitchen &amp; Dining"/>
    <n v="248"/>
    <n v="486"/>
    <n v="238"/>
    <n v="0.49"/>
    <s v="High Discount"/>
    <m/>
    <x v="0"/>
    <s v="No rating"/>
  </r>
  <r>
    <x v="39"/>
    <s v="Home Decor &amp; Furnishings"/>
    <n v="3546"/>
    <n v="3699"/>
    <n v="153"/>
    <n v="0.04"/>
    <s v="Low Discount"/>
    <m/>
    <x v="0"/>
    <s v="No rating"/>
  </r>
  <r>
    <x v="40"/>
    <s v="Baby &amp; Kids"/>
    <n v="525"/>
    <n v="1029"/>
    <n v="504"/>
    <n v="0.49"/>
    <s v="High Discount"/>
    <m/>
    <x v="0"/>
    <s v="No rating"/>
  </r>
  <r>
    <x v="41"/>
    <s v="Tools &amp; Hardware"/>
    <n v="1080"/>
    <n v="1874"/>
    <n v="794"/>
    <n v="0.42"/>
    <s v="High Discount"/>
    <m/>
    <x v="0"/>
    <s v="No rating"/>
  </r>
  <r>
    <x v="42"/>
    <s v="Safety &amp; Protective Equipment"/>
    <n v="1420"/>
    <n v="2420"/>
    <n v="1000"/>
    <n v="0.41"/>
    <s v="High Discount"/>
    <m/>
    <x v="0"/>
    <s v="No rating"/>
  </r>
  <r>
    <x v="43"/>
    <s v="Storage &amp; Organization"/>
    <n v="1875"/>
    <n v="1899"/>
    <n v="24"/>
    <n v="0.01"/>
    <s v="Low Discount"/>
    <m/>
    <x v="0"/>
    <s v="No rating"/>
  </r>
  <r>
    <x v="44"/>
    <s v="Storage &amp; Organization"/>
    <n v="198"/>
    <n v="260"/>
    <n v="62"/>
    <n v="0.24"/>
    <s v="Medium Discount"/>
    <m/>
    <x v="0"/>
    <s v="No rating"/>
  </r>
  <r>
    <x v="45"/>
    <s v="Electrical &amp; Lighting"/>
    <n v="1150"/>
    <n v="1737"/>
    <n v="587"/>
    <n v="0.34"/>
    <s v="Medium Discount"/>
    <m/>
    <x v="0"/>
    <s v="No rating"/>
  </r>
  <r>
    <x v="46"/>
    <s v="Furniture"/>
    <n v="1190"/>
    <n v="1810"/>
    <n v="620"/>
    <n v="0.34"/>
    <s v="Medium Discount"/>
    <m/>
    <x v="0"/>
    <s v="No rating"/>
  </r>
  <r>
    <x v="47"/>
    <s v="General Household Items"/>
    <n v="1658"/>
    <n v="1699"/>
    <n v="41"/>
    <n v="0.02"/>
    <s v="Low Discount"/>
    <m/>
    <x v="0"/>
    <s v="No rating"/>
  </r>
  <r>
    <x v="48"/>
    <s v="General Household Items"/>
    <n v="1768"/>
    <n v="1799"/>
    <n v="31"/>
    <n v="0.02"/>
    <s v="Low Discount"/>
    <m/>
    <x v="0"/>
    <s v="No rating"/>
  </r>
  <r>
    <x v="49"/>
    <s v="Kitchen &amp; Dining"/>
    <n v="199"/>
    <n v="553"/>
    <n v="354"/>
    <n v="0.64"/>
    <s v="High Discount"/>
    <m/>
    <x v="0"/>
    <s v="No rating"/>
  </r>
  <r>
    <x v="50"/>
    <s v="General Household Items"/>
    <n v="169"/>
    <n v="320"/>
    <n v="151"/>
    <n v="0.47"/>
    <s v="High Discount"/>
    <m/>
    <x v="0"/>
    <s v="No rating"/>
  </r>
  <r>
    <x v="51"/>
    <s v="Home Decor &amp; Furnishings"/>
    <n v="527"/>
    <n v="999"/>
    <n v="472"/>
    <n v="0.47"/>
    <s v="High Discount"/>
    <n v="14"/>
    <x v="1"/>
    <s v="Average"/>
  </r>
  <r>
    <x v="52"/>
    <s v="Tools &amp; Hardware"/>
    <n v="2999"/>
    <n v="3290"/>
    <n v="291"/>
    <n v="0.09"/>
    <s v="Low Discount"/>
    <n v="15"/>
    <x v="2"/>
    <s v="Average"/>
  </r>
  <r>
    <x v="53"/>
    <s v="Electrical &amp; Lighting"/>
    <n v="988"/>
    <n v="1580"/>
    <n v="592"/>
    <n v="0.37"/>
    <s v="Medium Discount"/>
    <n v="2"/>
    <x v="2"/>
    <s v="Average"/>
  </r>
  <r>
    <x v="54"/>
    <s v="Tools &amp; Hardware"/>
    <n v="1600"/>
    <n v="2929"/>
    <n v="1329"/>
    <n v="0.45"/>
    <s v="High Discount"/>
    <n v="5"/>
    <x v="3"/>
    <s v="Average"/>
  </r>
  <r>
    <x v="55"/>
    <s v="Tools &amp; Hardware"/>
    <n v="799"/>
    <n v="999"/>
    <n v="200"/>
    <n v="0.2"/>
    <s v="Medium Discount"/>
    <n v="12"/>
    <x v="1"/>
    <s v="Average"/>
  </r>
  <r>
    <x v="56"/>
    <s v="Tools &amp; Hardware"/>
    <n v="1680"/>
    <n v="2499"/>
    <n v="819"/>
    <n v="0.33"/>
    <s v="Medium Discount"/>
    <n v="9"/>
    <x v="4"/>
    <s v="Average"/>
  </r>
  <r>
    <x v="57"/>
    <s v="Arts, Crafts &amp; Hobbies"/>
    <n v="38"/>
    <n v="80"/>
    <n v="42"/>
    <n v="0.53"/>
    <s v="High Discount"/>
    <n v="13"/>
    <x v="5"/>
    <s v="Average"/>
  </r>
  <r>
    <x v="58"/>
    <s v="Electrical &amp; Lighting"/>
    <n v="880"/>
    <n v="1350"/>
    <n v="470"/>
    <n v="0.35"/>
    <s v="Medium Discount"/>
    <n v="6"/>
    <x v="2"/>
    <s v="Average"/>
  </r>
  <r>
    <x v="59"/>
    <s v="Furniture"/>
    <n v="1650"/>
    <n v="2150"/>
    <n v="500"/>
    <n v="0.23"/>
    <s v="Medium Discount"/>
    <n v="14"/>
    <x v="6"/>
    <s v="Average"/>
  </r>
  <r>
    <x v="60"/>
    <s v="Storage &amp; Organization"/>
    <n v="2048"/>
    <n v="4500"/>
    <n v="2452"/>
    <n v="0.54"/>
    <s v="High Discount"/>
    <n v="7"/>
    <x v="5"/>
    <s v="Average"/>
  </r>
  <r>
    <x v="61"/>
    <s v="Storage &amp; Organization"/>
    <n v="2880"/>
    <n v="3520"/>
    <n v="640"/>
    <n v="0.18"/>
    <s v="Low Discount"/>
    <n v="12"/>
    <x v="3"/>
    <s v="Average"/>
  </r>
  <r>
    <x v="62"/>
    <s v="Kitchen &amp; Dining"/>
    <n v="1350"/>
    <n v="1990"/>
    <n v="640"/>
    <n v="0.32"/>
    <s v="Medium Discount"/>
    <n v="13"/>
    <x v="3"/>
    <s v="Average"/>
  </r>
  <r>
    <x v="63"/>
    <s v="Tools &amp; Hardware"/>
    <n v="1758"/>
    <n v="2499"/>
    <n v="741"/>
    <n v="0.3"/>
    <s v="Medium Discount"/>
    <n v="20"/>
    <x v="1"/>
    <s v="Average"/>
  </r>
  <r>
    <x v="64"/>
    <s v="General Household Items"/>
    <n v="185"/>
    <n v="382"/>
    <n v="197"/>
    <n v="0.52"/>
    <s v="High Discount"/>
    <n v="9"/>
    <x v="5"/>
    <s v="Average"/>
  </r>
  <r>
    <x v="65"/>
    <s v="Electrical &amp; Lighting"/>
    <n v="1820"/>
    <n v="3490"/>
    <n v="1670"/>
    <n v="0.48"/>
    <s v="High Discount"/>
    <n v="9"/>
    <x v="5"/>
    <s v="Average"/>
  </r>
  <r>
    <x v="66"/>
    <s v="Storage &amp; Organization"/>
    <n v="389"/>
    <n v="656"/>
    <n v="267"/>
    <n v="0.41"/>
    <s v="High Discount"/>
    <n v="36"/>
    <x v="5"/>
    <s v="Average"/>
  </r>
  <r>
    <x v="67"/>
    <s v="Electrical &amp; Lighting"/>
    <n v="458"/>
    <n v="986"/>
    <n v="528"/>
    <n v="0.54"/>
    <s v="High Discount"/>
    <n v="10"/>
    <x v="7"/>
    <s v="Average"/>
  </r>
  <r>
    <x v="68"/>
    <s v="Tools &amp; Hardware"/>
    <n v="3750"/>
    <n v="6143"/>
    <n v="2393"/>
    <n v="0.39"/>
    <s v="Medium Discount"/>
    <n v="5"/>
    <x v="7"/>
    <s v="Average"/>
  </r>
  <r>
    <x v="69"/>
    <s v="Storage &amp; Organization"/>
    <n v="509"/>
    <n v="899"/>
    <n v="390"/>
    <n v="0.43"/>
    <s v="High Discount"/>
    <n v="5"/>
    <x v="7"/>
    <s v="Average"/>
  </r>
  <r>
    <x v="70"/>
    <s v="Home Decor &amp; Furnishings"/>
    <n v="1189"/>
    <n v="2199"/>
    <n v="1010"/>
    <n v="0.46"/>
    <s v="High Discount"/>
    <n v="1"/>
    <x v="7"/>
    <s v="Average"/>
  </r>
  <r>
    <x v="71"/>
    <s v="Kitchen &amp; Dining"/>
    <n v="330"/>
    <n v="647"/>
    <n v="317"/>
    <n v="0.49"/>
    <s v="High Discount"/>
    <n v="1"/>
    <x v="2"/>
    <s v="Average"/>
  </r>
  <r>
    <x v="72"/>
    <s v="Tools &amp; Hardware"/>
    <n v="950"/>
    <n v="1525"/>
    <n v="575"/>
    <n v="0.38"/>
    <s v="Medium Discount"/>
    <n v="2"/>
    <x v="8"/>
    <s v="Excellent"/>
  </r>
  <r>
    <x v="73"/>
    <s v="Automotive Accessories"/>
    <n v="2199"/>
    <n v="2923"/>
    <n v="724"/>
    <n v="0.25"/>
    <s v="Medium Discount"/>
    <n v="24"/>
    <x v="9"/>
    <s v="Excellent"/>
  </r>
  <r>
    <x v="74"/>
    <s v="General Household Items"/>
    <n v="1580"/>
    <n v="2499"/>
    <n v="919"/>
    <n v="0.37"/>
    <s v="Medium Discount"/>
    <n v="7"/>
    <x v="10"/>
    <s v="Excellent"/>
  </r>
  <r>
    <x v="75"/>
    <s v="Electrical &amp; Lighting"/>
    <n v="1740"/>
    <n v="2356"/>
    <n v="616"/>
    <n v="0.26"/>
    <s v="Medium Discount"/>
    <n v="5"/>
    <x v="11"/>
    <s v="Excellent"/>
  </r>
  <r>
    <x v="76"/>
    <s v="Tools &amp; Hardware"/>
    <n v="2319"/>
    <n v="3032"/>
    <n v="713"/>
    <n v="0.24"/>
    <s v="Medium Discount"/>
    <n v="55"/>
    <x v="9"/>
    <s v="Excellent"/>
  </r>
  <r>
    <x v="77"/>
    <s v="Furniture"/>
    <n v="1274"/>
    <n v="2800"/>
    <n v="1526"/>
    <n v="0.55000000000000004"/>
    <s v="High Discount"/>
    <n v="5"/>
    <x v="11"/>
    <s v="Excellent"/>
  </r>
  <r>
    <x v="78"/>
    <s v="Tools &amp; Hardware"/>
    <n v="990"/>
    <n v="1500"/>
    <n v="510"/>
    <n v="0.34"/>
    <s v="Medium Discount"/>
    <n v="39"/>
    <x v="10"/>
    <s v="Excellent"/>
  </r>
  <r>
    <x v="79"/>
    <s v="Home Decor &amp; Furnishings"/>
    <n v="552"/>
    <n v="1035"/>
    <n v="483"/>
    <n v="0.47"/>
    <s v="High Discount"/>
    <n v="12"/>
    <x v="11"/>
    <s v="Excellent"/>
  </r>
  <r>
    <x v="80"/>
    <s v="Health, Personal Care &amp; Bathroom"/>
    <n v="501"/>
    <n v="860"/>
    <n v="359"/>
    <n v="0.42"/>
    <s v="High Discount"/>
    <n v="6"/>
    <x v="8"/>
    <s v="Excellent"/>
  </r>
  <r>
    <x v="81"/>
    <s v="General Household Items"/>
    <n v="332"/>
    <n v="684"/>
    <n v="352"/>
    <n v="0.51"/>
    <s v="High Discount"/>
    <n v="2"/>
    <x v="12"/>
    <s v="Excellent"/>
  </r>
  <r>
    <x v="82"/>
    <s v="Home Decor &amp; Furnishings"/>
    <n v="195"/>
    <n v="360"/>
    <n v="165"/>
    <n v="0.46"/>
    <s v="High Discount"/>
    <n v="2"/>
    <x v="12"/>
    <s v="Excellent"/>
  </r>
  <r>
    <x v="83"/>
    <s v="Furniture"/>
    <n v="2025"/>
    <n v="3971"/>
    <n v="1946"/>
    <n v="0.49"/>
    <s v="High Discount"/>
    <n v="3"/>
    <x v="12"/>
    <s v="Excellent"/>
  </r>
  <r>
    <x v="84"/>
    <s v="Home Decor &amp; Furnishings"/>
    <n v="2999"/>
    <n v="3699"/>
    <n v="700"/>
    <n v="0.19"/>
    <s v="Low Discount"/>
    <n v="5"/>
    <x v="9"/>
    <s v="Excellent"/>
  </r>
  <r>
    <x v="85"/>
    <s v="Home Decor &amp; Furnishings"/>
    <n v="998"/>
    <n v="1966"/>
    <n v="968"/>
    <n v="0.49"/>
    <s v="High Discount"/>
    <n v="44"/>
    <x v="9"/>
    <s v="Excellent"/>
  </r>
  <r>
    <x v="86"/>
    <s v="Tools &amp; Hardware"/>
    <n v="420"/>
    <n v="647"/>
    <n v="227"/>
    <n v="0.35"/>
    <s v="Medium Discount"/>
    <n v="49"/>
    <x v="9"/>
    <s v="Excellent"/>
  </r>
  <r>
    <x v="87"/>
    <s v="Kitchen &amp; Dining"/>
    <n v="980"/>
    <n v="1490"/>
    <n v="510"/>
    <n v="0.34"/>
    <s v="Medium Discount"/>
    <n v="12"/>
    <x v="10"/>
    <s v="Excellent"/>
  </r>
  <r>
    <x v="88"/>
    <s v="Storage &amp; Organization"/>
    <n v="1940"/>
    <n v="2650"/>
    <n v="710"/>
    <n v="0.27"/>
    <s v="Medium Discount"/>
    <n v="20"/>
    <x v="10"/>
    <s v="Excellent"/>
  </r>
  <r>
    <x v="89"/>
    <s v="Storage &amp; Organization"/>
    <n v="1980"/>
    <n v="2699"/>
    <n v="719"/>
    <n v="0.27"/>
    <s v="Medium Discount"/>
    <n v="32"/>
    <x v="8"/>
    <s v="Excellent"/>
  </r>
  <r>
    <x v="90"/>
    <s v="Storage &amp; Organization"/>
    <n v="1620"/>
    <n v="2690"/>
    <n v="1070"/>
    <n v="0.4"/>
    <s v="Medium Discount"/>
    <n v="1"/>
    <x v="12"/>
    <s v="Excellent"/>
  </r>
  <r>
    <x v="91"/>
    <s v="Home Decor &amp; Furnishings"/>
    <n v="171"/>
    <n v="360"/>
    <n v="189"/>
    <n v="0.53"/>
    <s v="High Discount"/>
    <n v="2"/>
    <x v="12"/>
    <s v="Excellent"/>
  </r>
  <r>
    <x v="92"/>
    <s v="Home Decor &amp; Furnishings"/>
    <n v="1980"/>
    <n v="3200"/>
    <n v="1220"/>
    <n v="0.38"/>
    <s v="Medium Discount"/>
    <n v="2"/>
    <x v="8"/>
    <s v="Excellent"/>
  </r>
  <r>
    <x v="93"/>
    <s v="Storage &amp; Organization"/>
    <n v="979"/>
    <n v="1920"/>
    <n v="941"/>
    <n v="0.49"/>
    <s v="High Discount"/>
    <n v="1"/>
    <x v="12"/>
    <s v="Excellent"/>
  </r>
  <r>
    <x v="94"/>
    <s v="Kitchen &amp; Dining"/>
    <n v="3640"/>
    <n v="4588"/>
    <n v="948"/>
    <n v="0.21"/>
    <s v="Medium Discount"/>
    <n v="1"/>
    <x v="12"/>
    <s v="Excellent"/>
  </r>
  <r>
    <x v="2"/>
    <s v="Tools &amp; Hardware"/>
    <n v="657"/>
    <n v="1288"/>
    <n v="631"/>
    <n v="0.49"/>
    <s v="High Discount"/>
    <m/>
    <x v="13"/>
    <s v="Poor"/>
  </r>
  <r>
    <x v="95"/>
    <s v="Kitchen &amp; Dining"/>
    <n v="2170"/>
    <n v="2500"/>
    <n v="330"/>
    <n v="0.13"/>
    <s v="Low Discount"/>
    <n v="6"/>
    <x v="14"/>
    <s v="Poor"/>
  </r>
  <r>
    <x v="96"/>
    <s v="Kitchen &amp; Dining"/>
    <n v="2115"/>
    <n v="4700"/>
    <n v="2585"/>
    <n v="0.55000000000000004"/>
    <s v="High Discount"/>
    <n v="13"/>
    <x v="15"/>
    <s v="Poor"/>
  </r>
  <r>
    <x v="97"/>
    <s v="Automotive Accessories"/>
    <n v="445"/>
    <n v="873"/>
    <n v="428"/>
    <n v="0.49"/>
    <s v="High Discount"/>
    <n v="69"/>
    <x v="15"/>
    <s v="Poor"/>
  </r>
  <r>
    <x v="98"/>
    <s v="Electrical &amp; Lighting"/>
    <n v="325"/>
    <n v="680"/>
    <n v="355"/>
    <n v="0.52"/>
    <s v="High Discount"/>
    <n v="15"/>
    <x v="16"/>
    <s v="Poor"/>
  </r>
  <r>
    <x v="99"/>
    <s v="Automotive Accessories"/>
    <n v="1220"/>
    <n v="1555"/>
    <n v="335"/>
    <n v="0.22"/>
    <s v="Medium Discount"/>
    <n v="16"/>
    <x v="17"/>
    <s v="Poor"/>
  </r>
  <r>
    <x v="100"/>
    <s v="Home Decor &amp; Furnishings"/>
    <n v="990"/>
    <n v="1814"/>
    <n v="824"/>
    <n v="0.45"/>
    <s v="High Discount"/>
    <n v="6"/>
    <x v="18"/>
    <s v="Poor"/>
  </r>
  <r>
    <x v="101"/>
    <s v="Kitchen &amp; Dining"/>
    <n v="1000"/>
    <n v="2000"/>
    <n v="1000"/>
    <n v="0.5"/>
    <s v="High Discount"/>
    <n v="7"/>
    <x v="19"/>
    <s v="Poor"/>
  </r>
  <r>
    <x v="102"/>
    <s v="Health, Personal Care &amp; Bathroom"/>
    <n v="382"/>
    <n v="700"/>
    <n v="318"/>
    <n v="0.45"/>
    <s v="High Discount"/>
    <n v="17"/>
    <x v="20"/>
    <s v="Poor"/>
  </r>
  <r>
    <x v="103"/>
    <s v="Storage &amp; Organization"/>
    <n v="2300"/>
    <n v="3240"/>
    <n v="940"/>
    <n v="0.28999999999999998"/>
    <s v="Medium Discount"/>
    <n v="5"/>
    <x v="20"/>
    <s v="Poor"/>
  </r>
  <r>
    <x v="104"/>
    <s v="Home Decor &amp; Furnishings"/>
    <n v="345"/>
    <n v="602"/>
    <n v="257"/>
    <n v="0.43"/>
    <s v="High Discount"/>
    <n v="6"/>
    <x v="21"/>
    <s v="Poor"/>
  </r>
  <r>
    <x v="105"/>
    <s v="Storage &amp; Organization"/>
    <n v="968"/>
    <n v="1814"/>
    <n v="846"/>
    <n v="0.47"/>
    <s v="High Discount"/>
    <n v="6"/>
    <x v="19"/>
    <s v="Poor"/>
  </r>
  <r>
    <x v="106"/>
    <s v="Health, Personal Care &amp; Bathroom"/>
    <n v="1570"/>
    <n v="2988"/>
    <n v="1418"/>
    <n v="0.47"/>
    <s v="High Discount"/>
    <n v="7"/>
    <x v="19"/>
    <s v="Poor"/>
  </r>
  <r>
    <x v="107"/>
    <s v="Electrical &amp; Lighting"/>
    <n v="790"/>
    <n v="1485"/>
    <n v="695"/>
    <n v="0.47"/>
    <s v="High Discount"/>
    <m/>
    <x v="15"/>
    <s v="Poor"/>
  </r>
  <r>
    <x v="108"/>
    <s v="Home Decor &amp; Furnishings"/>
    <n v="450"/>
    <n v="900"/>
    <n v="450"/>
    <n v="0.5"/>
    <s v="High Discount"/>
    <n v="1"/>
    <x v="13"/>
    <s v="Poor"/>
  </r>
  <r>
    <x v="109"/>
    <m/>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30AACF-F733-421B-BC53-512CA9146724}" name="PivotTable1" cacheId="14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7" firstHeaderRow="0" firstDataRow="1" firstDataCol="1"/>
  <pivotFields count="10">
    <pivotField showAll="0">
      <items count="110">
        <item x="92"/>
        <item x="78"/>
        <item x="72"/>
        <item x="62"/>
        <item x="87"/>
        <item x="97"/>
        <item x="20"/>
        <item x="54"/>
        <item x="76"/>
        <item x="44"/>
        <item x="25"/>
        <item x="52"/>
        <item x="43"/>
        <item x="35"/>
        <item x="13"/>
        <item x="107"/>
        <item x="68"/>
        <item x="101"/>
        <item x="85"/>
        <item x="21"/>
        <item x="57"/>
        <item x="38"/>
        <item x="79"/>
        <item x="6"/>
        <item x="3"/>
        <item x="95"/>
        <item x="63"/>
        <item x="89"/>
        <item x="88"/>
        <item x="24"/>
        <item x="96"/>
        <item x="49"/>
        <item x="34"/>
        <item x="11"/>
        <item x="23"/>
        <item x="105"/>
        <item x="41"/>
        <item x="42"/>
        <item x="102"/>
        <item x="2"/>
        <item x="81"/>
        <item x="100"/>
        <item x="40"/>
        <item x="8"/>
        <item x="93"/>
        <item x="50"/>
        <item x="14"/>
        <item x="12"/>
        <item x="27"/>
        <item x="46"/>
        <item x="10"/>
        <item x="19"/>
        <item x="91"/>
        <item x="0"/>
        <item x="22"/>
        <item x="18"/>
        <item x="53"/>
        <item x="90"/>
        <item x="106"/>
        <item x="86"/>
        <item x="64"/>
        <item x="59"/>
        <item x="55"/>
        <item x="71"/>
        <item x="98"/>
        <item x="94"/>
        <item x="103"/>
        <item x="60"/>
        <item x="83"/>
        <item x="80"/>
        <item x="77"/>
        <item x="5"/>
        <item x="65"/>
        <item x="58"/>
        <item x="45"/>
        <item x="84"/>
        <item x="70"/>
        <item x="51"/>
        <item x="39"/>
        <item x="7"/>
        <item x="56"/>
        <item x="30"/>
        <item x="4"/>
        <item x="17"/>
        <item x="67"/>
        <item x="26"/>
        <item x="28"/>
        <item x="82"/>
        <item x="15"/>
        <item x="16"/>
        <item x="75"/>
        <item x="73"/>
        <item x="37"/>
        <item x="61"/>
        <item x="32"/>
        <item x="66"/>
        <item x="33"/>
        <item x="9"/>
        <item x="47"/>
        <item x="1"/>
        <item x="48"/>
        <item x="99"/>
        <item x="31"/>
        <item x="36"/>
        <item x="108"/>
        <item x="29"/>
        <item x="104"/>
        <item x="74"/>
        <item x="69"/>
        <item t="default"/>
      </items>
    </pivotField>
    <pivotField axis="axisRow" showAll="0">
      <items count="14">
        <item x="12"/>
        <item x="7"/>
        <item x="11"/>
        <item x="8"/>
        <item x="0"/>
        <item x="9"/>
        <item x="6"/>
        <item x="5"/>
        <item x="1"/>
        <item x="3"/>
        <item x="10"/>
        <item x="4"/>
        <item x="2"/>
        <item t="default"/>
      </items>
    </pivotField>
    <pivotField numFmtId="164" showAll="0"/>
    <pivotField numFmtId="164" showAll="0"/>
    <pivotField numFmtId="164" showAll="0"/>
    <pivotField dataField="1" numFmtId="9" showAll="0"/>
    <pivotField showAll="0">
      <items count="4">
        <item x="0"/>
        <item x="2"/>
        <item x="1"/>
        <item t="default"/>
      </items>
    </pivotField>
    <pivotField showAll="0"/>
    <pivotField dataField="1" showAll="0"/>
    <pivotField showAll="0"/>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Average of Discount percentage" fld="5" subtotal="average" baseField="1" baseItem="0" numFmtId="9"/>
    <dataField name="Average of Ratings" fld="8" subtotal="average" baseField="1" baseItem="0"/>
  </dataFields>
  <formats count="3">
    <format dxfId="103">
      <pivotArea outline="0" collapsedLevelsAreSubtotals="1" fieldPosition="0"/>
    </format>
    <format dxfId="102">
      <pivotArea outline="0" collapsedLevelsAreSubtotals="1" fieldPosition="0">
        <references count="1">
          <reference field="4294967294" count="1" selected="0">
            <x v="0"/>
          </reference>
        </references>
      </pivotArea>
    </format>
    <format dxfId="101">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C85E3A-D4BB-4DA7-8C10-098AB7F52876}" name="PivotTable4" cacheId="14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3" firstHeaderRow="1" firstDataRow="1" firstDataCol="1"/>
  <pivotFields count="10">
    <pivotField axis="axisRow" showAll="0">
      <items count="110">
        <item x="92"/>
        <item x="78"/>
        <item x="72"/>
        <item x="62"/>
        <item x="87"/>
        <item x="97"/>
        <item x="20"/>
        <item x="54"/>
        <item x="76"/>
        <item x="44"/>
        <item x="25"/>
        <item x="52"/>
        <item x="43"/>
        <item x="35"/>
        <item x="13"/>
        <item x="107"/>
        <item x="68"/>
        <item x="101"/>
        <item x="85"/>
        <item x="21"/>
        <item x="57"/>
        <item x="38"/>
        <item x="79"/>
        <item x="6"/>
        <item x="3"/>
        <item x="95"/>
        <item x="63"/>
        <item x="89"/>
        <item x="88"/>
        <item x="24"/>
        <item x="96"/>
        <item x="49"/>
        <item x="34"/>
        <item x="11"/>
        <item x="23"/>
        <item x="105"/>
        <item x="41"/>
        <item x="42"/>
        <item x="102"/>
        <item x="2"/>
        <item x="81"/>
        <item x="100"/>
        <item x="40"/>
        <item x="8"/>
        <item x="93"/>
        <item x="50"/>
        <item x="14"/>
        <item x="12"/>
        <item x="27"/>
        <item x="46"/>
        <item x="10"/>
        <item x="19"/>
        <item x="91"/>
        <item x="0"/>
        <item x="22"/>
        <item x="18"/>
        <item x="53"/>
        <item x="90"/>
        <item x="106"/>
        <item x="86"/>
        <item x="64"/>
        <item x="59"/>
        <item x="55"/>
        <item x="71"/>
        <item x="98"/>
        <item x="94"/>
        <item x="103"/>
        <item x="60"/>
        <item x="83"/>
        <item x="80"/>
        <item x="77"/>
        <item x="5"/>
        <item x="65"/>
        <item x="58"/>
        <item x="45"/>
        <item x="84"/>
        <item x="70"/>
        <item x="51"/>
        <item x="39"/>
        <item x="7"/>
        <item x="56"/>
        <item x="30"/>
        <item x="4"/>
        <item x="17"/>
        <item x="67"/>
        <item x="26"/>
        <item x="28"/>
        <item x="82"/>
        <item x="15"/>
        <item x="16"/>
        <item x="75"/>
        <item x="73"/>
        <item x="37"/>
        <item x="61"/>
        <item x="32"/>
        <item x="66"/>
        <item x="33"/>
        <item x="9"/>
        <item x="47"/>
        <item x="1"/>
        <item x="48"/>
        <item x="99"/>
        <item x="31"/>
        <item x="36"/>
        <item x="108"/>
        <item x="29"/>
        <item x="104"/>
        <item x="74"/>
        <item x="69"/>
        <item t="default"/>
      </items>
    </pivotField>
    <pivotField showAll="0"/>
    <pivotField numFmtId="164" showAll="0"/>
    <pivotField numFmtId="164" showAll="0"/>
    <pivotField numFmtId="164" showAll="0"/>
    <pivotField numFmtId="9" showAll="0"/>
    <pivotField showAll="0">
      <items count="4">
        <item x="0"/>
        <item x="2"/>
        <item x="1"/>
        <item t="default"/>
      </items>
    </pivotField>
    <pivotField dataField="1" showAll="0"/>
    <pivotField showAll="0"/>
    <pivotField showAll="0"/>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Items count="1">
    <i/>
  </colItems>
  <dataFields count="1">
    <dataField name="Sum of Review" fld="7" baseField="0" baseItem="0" numFmtId="1"/>
  </dataFields>
  <formats count="4">
    <format dxfId="100">
      <pivotArea grandRow="1" outline="0" collapsedLevelsAreSubtotals="1" fieldPosition="0"/>
    </format>
    <format dxfId="99">
      <pivotArea field="0" type="button" dataOnly="0" labelOnly="1" outline="0" axis="axisRow" fieldPosition="0"/>
    </format>
    <format dxfId="98">
      <pivotArea outline="0" collapsedLevelsAreSubtotals="1" fieldPosition="0"/>
    </format>
    <format dxfId="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E1E914-905F-4632-BAB4-01EB6C379C23}" name="PivotTable1" cacheId="14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A3:B14" firstHeaderRow="1" firstDataRow="1" firstDataCol="1"/>
  <pivotFields count="10">
    <pivotField axis="axisRow" showAll="0" measureFilter="1" sortType="ascending">
      <items count="111">
        <item x="92"/>
        <item x="78"/>
        <item x="72"/>
        <item x="62"/>
        <item x="87"/>
        <item x="97"/>
        <item x="20"/>
        <item x="54"/>
        <item x="76"/>
        <item x="44"/>
        <item x="25"/>
        <item x="52"/>
        <item x="43"/>
        <item x="35"/>
        <item x="13"/>
        <item x="107"/>
        <item x="68"/>
        <item x="101"/>
        <item x="85"/>
        <item x="21"/>
        <item x="57"/>
        <item x="38"/>
        <item x="79"/>
        <item x="6"/>
        <item x="3"/>
        <item x="95"/>
        <item x="63"/>
        <item x="89"/>
        <item x="88"/>
        <item x="24"/>
        <item x="96"/>
        <item x="49"/>
        <item x="34"/>
        <item x="11"/>
        <item x="23"/>
        <item x="105"/>
        <item x="41"/>
        <item x="42"/>
        <item x="102"/>
        <item x="2"/>
        <item x="81"/>
        <item x="100"/>
        <item x="40"/>
        <item x="8"/>
        <item x="93"/>
        <item x="50"/>
        <item x="14"/>
        <item x="12"/>
        <item x="27"/>
        <item x="46"/>
        <item x="10"/>
        <item x="19"/>
        <item x="91"/>
        <item x="0"/>
        <item x="22"/>
        <item x="18"/>
        <item x="53"/>
        <item x="90"/>
        <item x="106"/>
        <item x="86"/>
        <item x="64"/>
        <item x="59"/>
        <item x="55"/>
        <item x="71"/>
        <item x="98"/>
        <item x="94"/>
        <item x="103"/>
        <item x="60"/>
        <item x="83"/>
        <item x="80"/>
        <item x="77"/>
        <item x="5"/>
        <item x="65"/>
        <item x="58"/>
        <item x="45"/>
        <item x="84"/>
        <item x="70"/>
        <item x="51"/>
        <item x="39"/>
        <item x="7"/>
        <item x="56"/>
        <item x="30"/>
        <item x="4"/>
        <item x="17"/>
        <item x="67"/>
        <item x="26"/>
        <item x="28"/>
        <item x="82"/>
        <item x="15"/>
        <item x="16"/>
        <item x="75"/>
        <item x="73"/>
        <item x="37"/>
        <item x="61"/>
        <item x="32"/>
        <item x="66"/>
        <item x="33"/>
        <item x="9"/>
        <item x="47"/>
        <item x="1"/>
        <item x="48"/>
        <item x="99"/>
        <item x="31"/>
        <item x="36"/>
        <item x="108"/>
        <item x="29"/>
        <item x="104"/>
        <item x="74"/>
        <item x="69"/>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showAll="0"/>
    <pivotField dataField="1" showAll="0">
      <items count="23">
        <item x="13"/>
        <item x="15"/>
        <item x="19"/>
        <item x="21"/>
        <item x="14"/>
        <item x="20"/>
        <item x="17"/>
        <item x="16"/>
        <item x="18"/>
        <item x="7"/>
        <item x="5"/>
        <item x="3"/>
        <item x="2"/>
        <item x="1"/>
        <item x="4"/>
        <item x="6"/>
        <item x="8"/>
        <item x="9"/>
        <item x="10"/>
        <item x="11"/>
        <item x="12"/>
        <item x="0"/>
        <item t="default"/>
      </items>
    </pivotField>
    <pivotField showAll="0"/>
  </pivotFields>
  <rowFields count="1">
    <field x="0"/>
  </rowFields>
  <rowItems count="11">
    <i>
      <x v="22"/>
    </i>
    <i>
      <x v="90"/>
    </i>
    <i>
      <x v="70"/>
    </i>
    <i>
      <x v="57"/>
    </i>
    <i>
      <x v="68"/>
    </i>
    <i>
      <x v="44"/>
    </i>
    <i>
      <x v="65"/>
    </i>
    <i>
      <x v="87"/>
    </i>
    <i>
      <x v="40"/>
    </i>
    <i>
      <x v="52"/>
    </i>
    <i t="grand">
      <x/>
    </i>
  </rowItems>
  <colItems count="1">
    <i/>
  </colItems>
  <dataFields count="1">
    <dataField name="Sum of Ratings" fld="8" baseField="0" baseItem="0"/>
  </dataFields>
  <chartFormats count="3">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9DAB02-B939-43D0-9B66-89480BC07988}" name="PivotTable2" cacheId="14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14" firstHeaderRow="1" firstDataRow="1" firstDataCol="1"/>
  <pivotFields count="10">
    <pivotField axis="axisRow" showAll="0" measureFilter="1" sortType="ascending">
      <items count="111">
        <item x="92"/>
        <item x="78"/>
        <item x="72"/>
        <item x="62"/>
        <item x="87"/>
        <item x="97"/>
        <item x="20"/>
        <item x="54"/>
        <item x="76"/>
        <item x="44"/>
        <item x="25"/>
        <item x="52"/>
        <item x="43"/>
        <item x="35"/>
        <item x="13"/>
        <item x="107"/>
        <item x="68"/>
        <item x="101"/>
        <item x="85"/>
        <item x="21"/>
        <item x="57"/>
        <item x="38"/>
        <item x="79"/>
        <item x="6"/>
        <item x="3"/>
        <item x="95"/>
        <item x="63"/>
        <item x="89"/>
        <item x="88"/>
        <item x="24"/>
        <item x="96"/>
        <item x="49"/>
        <item x="34"/>
        <item x="11"/>
        <item x="23"/>
        <item x="105"/>
        <item x="41"/>
        <item x="42"/>
        <item x="102"/>
        <item x="2"/>
        <item x="81"/>
        <item x="100"/>
        <item x="40"/>
        <item x="8"/>
        <item x="93"/>
        <item x="50"/>
        <item x="14"/>
        <item x="12"/>
        <item x="27"/>
        <item x="46"/>
        <item x="10"/>
        <item x="19"/>
        <item x="91"/>
        <item x="0"/>
        <item x="22"/>
        <item x="18"/>
        <item x="53"/>
        <item x="90"/>
        <item x="106"/>
        <item x="86"/>
        <item x="64"/>
        <item x="59"/>
        <item x="55"/>
        <item x="71"/>
        <item x="98"/>
        <item x="94"/>
        <item x="103"/>
        <item x="60"/>
        <item x="83"/>
        <item x="80"/>
        <item x="77"/>
        <item x="5"/>
        <item x="65"/>
        <item x="58"/>
        <item x="45"/>
        <item x="84"/>
        <item x="70"/>
        <item x="51"/>
        <item x="39"/>
        <item x="7"/>
        <item x="56"/>
        <item x="30"/>
        <item x="4"/>
        <item x="17"/>
        <item x="67"/>
        <item x="26"/>
        <item x="28"/>
        <item x="82"/>
        <item x="15"/>
        <item x="16"/>
        <item x="75"/>
        <item x="73"/>
        <item x="37"/>
        <item x="61"/>
        <item x="32"/>
        <item x="66"/>
        <item x="33"/>
        <item x="9"/>
        <item x="47"/>
        <item x="1"/>
        <item x="48"/>
        <item x="99"/>
        <item x="31"/>
        <item x="36"/>
        <item x="108"/>
        <item x="29"/>
        <item x="104"/>
        <item x="74"/>
        <item x="69"/>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dataField="1" showAll="0"/>
    <pivotField showAll="0">
      <items count="23">
        <item x="13"/>
        <item x="15"/>
        <item x="19"/>
        <item x="21"/>
        <item x="14"/>
        <item x="20"/>
        <item x="17"/>
        <item x="16"/>
        <item x="18"/>
        <item x="7"/>
        <item x="5"/>
        <item x="3"/>
        <item x="2"/>
        <item x="1"/>
        <item x="4"/>
        <item x="6"/>
        <item x="8"/>
        <item x="9"/>
        <item x="10"/>
        <item x="11"/>
        <item x="12"/>
        <item x="0"/>
        <item t="default"/>
      </items>
    </pivotField>
    <pivotField showAll="0"/>
  </pivotFields>
  <rowFields count="1">
    <field x="0"/>
  </rowFields>
  <rowItems count="11">
    <i>
      <x v="26"/>
    </i>
    <i>
      <x v="28"/>
    </i>
    <i>
      <x v="91"/>
    </i>
    <i>
      <x v="27"/>
    </i>
    <i>
      <x v="95"/>
    </i>
    <i>
      <x v="1"/>
    </i>
    <i>
      <x v="18"/>
    </i>
    <i>
      <x v="59"/>
    </i>
    <i>
      <x v="8"/>
    </i>
    <i>
      <x v="5"/>
    </i>
    <i t="grand">
      <x/>
    </i>
  </rowItems>
  <colItems count="1">
    <i/>
  </colItems>
  <dataFields count="1">
    <dataField name="Sum of Review" fld="7"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AF9A7F-A633-44F7-B815-ABA58D542BF6}" name="PivotTable3" cacheId="14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B14" firstHeaderRow="1" firstDataRow="1" firstDataCol="1"/>
  <pivotFields count="10">
    <pivotField axis="axisRow" showAll="0" measureFilter="1" sortType="ascending">
      <items count="111">
        <item x="92"/>
        <item x="78"/>
        <item x="72"/>
        <item x="62"/>
        <item x="87"/>
        <item x="97"/>
        <item x="20"/>
        <item x="54"/>
        <item x="76"/>
        <item x="44"/>
        <item x="25"/>
        <item x="52"/>
        <item x="43"/>
        <item x="35"/>
        <item x="13"/>
        <item x="107"/>
        <item x="68"/>
        <item x="101"/>
        <item x="85"/>
        <item x="21"/>
        <item x="57"/>
        <item x="38"/>
        <item x="79"/>
        <item x="6"/>
        <item x="3"/>
        <item x="95"/>
        <item x="63"/>
        <item x="89"/>
        <item x="88"/>
        <item x="24"/>
        <item x="96"/>
        <item x="49"/>
        <item x="34"/>
        <item x="11"/>
        <item x="23"/>
        <item x="105"/>
        <item x="41"/>
        <item x="42"/>
        <item x="102"/>
        <item x="2"/>
        <item x="81"/>
        <item x="100"/>
        <item x="40"/>
        <item x="8"/>
        <item x="93"/>
        <item x="50"/>
        <item x="14"/>
        <item x="12"/>
        <item x="27"/>
        <item x="46"/>
        <item x="10"/>
        <item x="19"/>
        <item x="91"/>
        <item x="0"/>
        <item x="22"/>
        <item x="18"/>
        <item x="53"/>
        <item x="90"/>
        <item x="106"/>
        <item x="86"/>
        <item x="64"/>
        <item x="59"/>
        <item x="55"/>
        <item x="71"/>
        <item x="98"/>
        <item x="94"/>
        <item x="103"/>
        <item x="60"/>
        <item x="83"/>
        <item x="80"/>
        <item x="77"/>
        <item x="5"/>
        <item x="65"/>
        <item x="58"/>
        <item x="45"/>
        <item x="84"/>
        <item x="70"/>
        <item x="51"/>
        <item x="39"/>
        <item x="7"/>
        <item x="56"/>
        <item x="30"/>
        <item x="4"/>
        <item x="17"/>
        <item x="67"/>
        <item x="26"/>
        <item x="28"/>
        <item x="82"/>
        <item x="15"/>
        <item x="16"/>
        <item x="75"/>
        <item x="73"/>
        <item x="37"/>
        <item x="61"/>
        <item x="32"/>
        <item x="66"/>
        <item x="33"/>
        <item x="9"/>
        <item x="47"/>
        <item x="1"/>
        <item x="48"/>
        <item x="99"/>
        <item x="31"/>
        <item x="36"/>
        <item x="108"/>
        <item x="29"/>
        <item x="104"/>
        <item x="74"/>
        <item x="69"/>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9" showAll="0"/>
    <pivotField showAll="0"/>
    <pivotField showAll="0"/>
    <pivotField showAll="0">
      <items count="23">
        <item x="13"/>
        <item x="15"/>
        <item x="19"/>
        <item x="21"/>
        <item x="14"/>
        <item x="20"/>
        <item x="17"/>
        <item x="16"/>
        <item x="18"/>
        <item x="7"/>
        <item x="5"/>
        <item x="3"/>
        <item x="2"/>
        <item x="1"/>
        <item x="4"/>
        <item x="6"/>
        <item x="8"/>
        <item x="9"/>
        <item x="10"/>
        <item x="11"/>
        <item x="12"/>
        <item x="0"/>
        <item t="default"/>
      </items>
    </pivotField>
    <pivotField showAll="0"/>
  </pivotFields>
  <rowFields count="1">
    <field x="0"/>
  </rowFields>
  <rowItems count="11">
    <i>
      <x v="52"/>
    </i>
    <i>
      <x v="20"/>
    </i>
    <i>
      <x v="84"/>
    </i>
    <i>
      <x v="67"/>
    </i>
    <i>
      <x v="30"/>
    </i>
    <i>
      <x v="70"/>
    </i>
    <i>
      <x v="31"/>
    </i>
    <i>
      <x v="39"/>
    </i>
    <i>
      <x v="99"/>
    </i>
    <i>
      <x v="53"/>
    </i>
    <i t="grand">
      <x/>
    </i>
  </rowItems>
  <colItems count="1">
    <i/>
  </colItems>
  <dataFields count="1">
    <dataField name="Sum of Discount percentage" fld="5"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729861-CF3B-422D-A7DA-3CD563E0A609}" name="PivotTable5" cacheId="14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8" firstHeaderRow="1" firstDataRow="1" firstDataCol="1"/>
  <pivotFields count="10">
    <pivotField dataField="1" showAll="0">
      <items count="110">
        <item x="92"/>
        <item x="78"/>
        <item x="72"/>
        <item x="62"/>
        <item x="87"/>
        <item x="97"/>
        <item x="20"/>
        <item x="54"/>
        <item x="76"/>
        <item x="44"/>
        <item x="25"/>
        <item x="52"/>
        <item x="43"/>
        <item x="35"/>
        <item x="13"/>
        <item x="107"/>
        <item x="68"/>
        <item x="101"/>
        <item x="85"/>
        <item x="21"/>
        <item x="57"/>
        <item x="38"/>
        <item x="79"/>
        <item x="6"/>
        <item x="3"/>
        <item x="95"/>
        <item x="63"/>
        <item x="89"/>
        <item x="88"/>
        <item x="24"/>
        <item x="96"/>
        <item x="49"/>
        <item x="34"/>
        <item x="11"/>
        <item x="23"/>
        <item x="105"/>
        <item x="41"/>
        <item x="42"/>
        <item x="102"/>
        <item x="2"/>
        <item x="81"/>
        <item x="100"/>
        <item x="40"/>
        <item x="8"/>
        <item x="93"/>
        <item x="50"/>
        <item x="14"/>
        <item x="12"/>
        <item x="27"/>
        <item x="46"/>
        <item x="10"/>
        <item x="19"/>
        <item x="91"/>
        <item x="0"/>
        <item x="22"/>
        <item x="18"/>
        <item x="53"/>
        <item x="90"/>
        <item x="106"/>
        <item x="86"/>
        <item x="64"/>
        <item x="59"/>
        <item x="55"/>
        <item x="71"/>
        <item x="98"/>
        <item x="94"/>
        <item x="103"/>
        <item x="60"/>
        <item x="83"/>
        <item x="80"/>
        <item x="77"/>
        <item x="5"/>
        <item x="65"/>
        <item x="58"/>
        <item x="45"/>
        <item x="84"/>
        <item x="70"/>
        <item x="51"/>
        <item x="39"/>
        <item x="7"/>
        <item x="56"/>
        <item x="30"/>
        <item x="4"/>
        <item x="17"/>
        <item x="67"/>
        <item x="26"/>
        <item x="28"/>
        <item x="82"/>
        <item x="15"/>
        <item x="16"/>
        <item x="75"/>
        <item x="73"/>
        <item x="37"/>
        <item x="61"/>
        <item x="32"/>
        <item x="66"/>
        <item x="33"/>
        <item x="9"/>
        <item x="47"/>
        <item x="1"/>
        <item x="48"/>
        <item x="99"/>
        <item x="31"/>
        <item x="36"/>
        <item x="108"/>
        <item x="29"/>
        <item x="104"/>
        <item x="74"/>
        <item x="69"/>
        <item t="default"/>
      </items>
    </pivotField>
    <pivotField showAll="0"/>
    <pivotField numFmtId="164" showAll="0"/>
    <pivotField numFmtId="164" showAll="0"/>
    <pivotField numFmtId="164" showAll="0"/>
    <pivotField numFmtId="9" showAll="0"/>
    <pivotField showAll="0">
      <items count="4">
        <item x="0"/>
        <item x="2"/>
        <item x="1"/>
        <item t="default"/>
      </items>
    </pivotField>
    <pivotField showAll="0"/>
    <pivotField showAll="0"/>
    <pivotField axis="axisRow" showAll="0">
      <items count="6">
        <item m="1" x="4"/>
        <item x="1"/>
        <item x="2"/>
        <item x="3"/>
        <item x="0"/>
        <item t="default"/>
      </items>
    </pivotField>
  </pivotFields>
  <rowFields count="1">
    <field x="9"/>
  </rowFields>
  <rowItems count="5">
    <i>
      <x v="1"/>
    </i>
    <i>
      <x v="2"/>
    </i>
    <i>
      <x v="3"/>
    </i>
    <i>
      <x v="4"/>
    </i>
    <i t="grand">
      <x/>
    </i>
  </rowItems>
  <colItems count="1">
    <i/>
  </colItems>
  <dataFields count="1">
    <dataField name="Count of Product"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F10789-6B9F-44ED-8FBF-B6A49F81DA62}" name="PivotTable2" cacheId="14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7" firstHeaderRow="1" firstDataRow="1" firstDataCol="1"/>
  <pivotFields count="10">
    <pivotField dataField="1" showAll="0">
      <items count="110">
        <item x="92"/>
        <item x="78"/>
        <item x="72"/>
        <item x="62"/>
        <item x="87"/>
        <item x="97"/>
        <item x="20"/>
        <item x="54"/>
        <item x="76"/>
        <item x="44"/>
        <item x="25"/>
        <item x="52"/>
        <item x="43"/>
        <item x="35"/>
        <item x="13"/>
        <item x="107"/>
        <item x="68"/>
        <item x="101"/>
        <item x="85"/>
        <item x="21"/>
        <item x="57"/>
        <item x="38"/>
        <item x="79"/>
        <item x="6"/>
        <item x="3"/>
        <item x="95"/>
        <item x="63"/>
        <item x="89"/>
        <item x="88"/>
        <item x="24"/>
        <item x="96"/>
        <item x="49"/>
        <item x="34"/>
        <item x="11"/>
        <item x="23"/>
        <item x="105"/>
        <item x="41"/>
        <item x="42"/>
        <item x="102"/>
        <item x="2"/>
        <item x="81"/>
        <item x="100"/>
        <item x="40"/>
        <item x="8"/>
        <item x="93"/>
        <item x="50"/>
        <item x="14"/>
        <item x="12"/>
        <item x="27"/>
        <item x="46"/>
        <item x="10"/>
        <item x="19"/>
        <item x="91"/>
        <item x="0"/>
        <item x="22"/>
        <item x="18"/>
        <item x="53"/>
        <item x="90"/>
        <item x="106"/>
        <item x="86"/>
        <item x="64"/>
        <item x="59"/>
        <item x="55"/>
        <item x="71"/>
        <item x="98"/>
        <item x="94"/>
        <item x="103"/>
        <item x="60"/>
        <item x="83"/>
        <item x="80"/>
        <item x="77"/>
        <item x="5"/>
        <item x="65"/>
        <item x="58"/>
        <item x="45"/>
        <item x="84"/>
        <item x="70"/>
        <item x="51"/>
        <item x="39"/>
        <item x="7"/>
        <item x="56"/>
        <item x="30"/>
        <item x="4"/>
        <item x="17"/>
        <item x="67"/>
        <item x="26"/>
        <item x="28"/>
        <item x="82"/>
        <item x="15"/>
        <item x="16"/>
        <item x="75"/>
        <item x="73"/>
        <item x="37"/>
        <item x="61"/>
        <item x="32"/>
        <item x="66"/>
        <item x="33"/>
        <item x="9"/>
        <item x="47"/>
        <item x="1"/>
        <item x="48"/>
        <item x="99"/>
        <item x="31"/>
        <item x="36"/>
        <item x="108"/>
        <item x="29"/>
        <item x="104"/>
        <item x="74"/>
        <item x="69"/>
        <item t="default"/>
      </items>
    </pivotField>
    <pivotField showAll="0"/>
    <pivotField numFmtId="164" showAll="0"/>
    <pivotField numFmtId="164" showAll="0"/>
    <pivotField numFmtId="164" showAll="0"/>
    <pivotField numFmtId="9" showAll="0"/>
    <pivotField axis="axisRow" showAll="0">
      <items count="4">
        <item x="0"/>
        <item x="2"/>
        <item x="1"/>
        <item t="default"/>
      </items>
    </pivotField>
    <pivotField showAll="0"/>
    <pivotField showAll="0">
      <items count="23">
        <item x="13"/>
        <item x="15"/>
        <item x="19"/>
        <item x="21"/>
        <item x="14"/>
        <item x="20"/>
        <item x="17"/>
        <item x="16"/>
        <item x="18"/>
        <item x="7"/>
        <item x="5"/>
        <item x="3"/>
        <item x="2"/>
        <item x="1"/>
        <item x="4"/>
        <item x="6"/>
        <item x="8"/>
        <item x="9"/>
        <item x="10"/>
        <item x="11"/>
        <item x="12"/>
        <item x="0"/>
        <item t="default"/>
      </items>
    </pivotField>
    <pivotField showAll="0"/>
  </pivotFields>
  <rowFields count="1">
    <field x="6"/>
  </rowFields>
  <rowItems count="4">
    <i>
      <x/>
    </i>
    <i>
      <x v="1"/>
    </i>
    <i>
      <x v="2"/>
    </i>
    <i t="grand">
      <x/>
    </i>
  </rowItems>
  <colItems count="1">
    <i/>
  </colItems>
  <dataFields count="1">
    <dataField name="Count of Product"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E390C51-4365-466D-AB0F-C34AE913CDEE}" sourceName="Product">
  <pivotTables>
    <pivotTable tabId="17" name="PivotTable2"/>
    <pivotTable tabId="4" name="PivotTable1"/>
    <pivotTable tabId="16" name="PivotTable5"/>
    <pivotTable tabId="6" name="PivotTable4"/>
  </pivotTables>
  <data>
    <tabular pivotCacheId="651816559">
      <items count="109">
        <i x="92" s="1"/>
        <i x="78" s="1"/>
        <i x="72" s="1"/>
        <i x="62" s="1"/>
        <i x="87" s="1"/>
        <i x="97" s="1"/>
        <i x="20" s="1"/>
        <i x="54" s="1"/>
        <i x="76" s="1"/>
        <i x="44" s="1"/>
        <i x="25" s="1"/>
        <i x="52" s="1"/>
        <i x="43" s="1"/>
        <i x="35" s="1"/>
        <i x="13" s="1"/>
        <i x="107" s="1"/>
        <i x="68" s="1"/>
        <i x="101" s="1"/>
        <i x="85" s="1"/>
        <i x="21" s="1"/>
        <i x="57" s="1"/>
        <i x="38" s="1"/>
        <i x="79" s="1"/>
        <i x="6" s="1"/>
        <i x="3" s="1"/>
        <i x="95" s="1"/>
        <i x="63" s="1"/>
        <i x="89" s="1"/>
        <i x="88" s="1"/>
        <i x="24" s="1"/>
        <i x="96" s="1"/>
        <i x="49" s="1"/>
        <i x="34" s="1"/>
        <i x="11" s="1"/>
        <i x="23" s="1"/>
        <i x="105" s="1"/>
        <i x="41" s="1"/>
        <i x="42" s="1"/>
        <i x="102" s="1"/>
        <i x="2" s="1"/>
        <i x="81" s="1"/>
        <i x="100" s="1"/>
        <i x="40" s="1"/>
        <i x="8" s="1"/>
        <i x="93" s="1"/>
        <i x="50" s="1"/>
        <i x="14" s="1"/>
        <i x="12" s="1"/>
        <i x="27" s="1"/>
        <i x="46" s="1"/>
        <i x="10" s="1"/>
        <i x="19" s="1"/>
        <i x="91" s="1"/>
        <i x="0" s="1"/>
        <i x="22" s="1"/>
        <i x="18" s="1"/>
        <i x="53" s="1"/>
        <i x="90" s="1"/>
        <i x="106" s="1"/>
        <i x="86" s="1"/>
        <i x="64" s="1"/>
        <i x="59" s="1"/>
        <i x="55" s="1"/>
        <i x="71" s="1"/>
        <i x="98" s="1"/>
        <i x="94" s="1"/>
        <i x="103" s="1"/>
        <i x="60" s="1"/>
        <i x="83" s="1"/>
        <i x="80" s="1"/>
        <i x="77" s="1"/>
        <i x="5" s="1"/>
        <i x="65" s="1"/>
        <i x="58" s="1"/>
        <i x="45" s="1"/>
        <i x="84" s="1"/>
        <i x="70" s="1"/>
        <i x="51" s="1"/>
        <i x="39" s="1"/>
        <i x="7" s="1"/>
        <i x="56" s="1"/>
        <i x="30" s="1"/>
        <i x="4" s="1"/>
        <i x="17" s="1"/>
        <i x="67" s="1"/>
        <i x="26" s="1"/>
        <i x="28" s="1"/>
        <i x="82" s="1"/>
        <i x="15" s="1"/>
        <i x="16" s="1"/>
        <i x="75" s="1"/>
        <i x="73" s="1"/>
        <i x="37" s="1"/>
        <i x="61" s="1"/>
        <i x="32" s="1"/>
        <i x="66" s="1"/>
        <i x="33" s="1"/>
        <i x="9" s="1"/>
        <i x="47" s="1"/>
        <i x="1" s="1"/>
        <i x="48" s="1"/>
        <i x="99" s="1"/>
        <i x="31" s="1"/>
        <i x="36" s="1"/>
        <i x="108" s="1"/>
        <i x="29" s="1"/>
        <i x="104" s="1"/>
        <i x="74" s="1"/>
        <i x="6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 xr10:uid="{C7D363E6-F20B-440B-BFEF-DC6A74114545}" sourceName="Ratings">
  <pivotTables>
    <pivotTable tabId="11" name="PivotTable1"/>
    <pivotTable tabId="14" name="PivotTable3"/>
    <pivotTable tabId="12" name="PivotTable2"/>
  </pivotTables>
  <data>
    <tabular pivotCacheId="995916283">
      <items count="22">
        <i x="13" s="1"/>
        <i x="15" s="1"/>
        <i x="19" s="1"/>
        <i x="21" s="1"/>
        <i x="14" s="1"/>
        <i x="20" s="1"/>
        <i x="17" s="1"/>
        <i x="16" s="1"/>
        <i x="18" s="1"/>
        <i x="7" s="1"/>
        <i x="5" s="1"/>
        <i x="3" s="1"/>
        <i x="2" s="1"/>
        <i x="1" s="1"/>
        <i x="4" s="1"/>
        <i x="6" s="1"/>
        <i x="8" s="1"/>
        <i x="9" s="1"/>
        <i x="10" s="1"/>
        <i x="11" s="1"/>
        <i x="1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Discount" xr10:uid="{9D440D05-9BE3-44C3-B469-1F41451B0D59}" sourceName="Product Discount ">
  <pivotTables>
    <pivotTable tabId="6" name="PivotTable4"/>
    <pivotTable tabId="4" name="PivotTable1"/>
    <pivotTable tabId="17" name="PivotTable2"/>
    <pivotTable tabId="16" name="PivotTable5"/>
  </pivotTables>
  <data>
    <tabular pivotCacheId="65181655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Discount " xr10:uid="{B5F28E40-CAE5-45CF-B4DD-FFBC1F148214}" cache="Slicer_Product_Discount" caption="Product Discount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s" xr10:uid="{A07BA74F-0FF8-42D3-8725-BD792AD5DC45}" cache="Slicer_Ratings" caption="Rating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3C45F6D-3FE2-4B4F-9787-82217125A32E}" cache="Slicer_Product" caption="Product" style="SlicerStyleLight2" rowHeight="241300"/>
  <slicer name="Ratings 1" xr10:uid="{C09538E8-80DF-488B-B971-11EA5BC0AC17}" cache="Slicer_Ratings" caption="Ratings" style="SlicerStyleLight2" rowHeight="241300"/>
  <slicer name="Product Discount  1" xr10:uid="{0C4E9B1F-73D8-426D-A785-1BDD3274A702}" cache="Slicer_Product_Discount" caption="Product Discount "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D724-0817-4A37-BC92-382205F54970}">
  <dimension ref="A3:C17"/>
  <sheetViews>
    <sheetView workbookViewId="0">
      <selection activeCell="A21" sqref="A21"/>
    </sheetView>
  </sheetViews>
  <sheetFormatPr defaultRowHeight="14.5" x14ac:dyDescent="0.35"/>
  <cols>
    <col min="1" max="1" width="29.7265625" bestFit="1" customWidth="1"/>
    <col min="2" max="2" width="27.7265625" style="1" bestFit="1" customWidth="1"/>
    <col min="3" max="3" width="16.36328125" bestFit="1" customWidth="1"/>
  </cols>
  <sheetData>
    <row r="3" spans="1:3" x14ac:dyDescent="0.35">
      <c r="A3" s="14" t="s">
        <v>137</v>
      </c>
      <c r="B3" s="1" t="s">
        <v>141</v>
      </c>
      <c r="C3" t="s">
        <v>139</v>
      </c>
    </row>
    <row r="4" spans="1:3" x14ac:dyDescent="0.35">
      <c r="A4" s="15" t="s">
        <v>132</v>
      </c>
      <c r="B4" s="1">
        <v>0.53</v>
      </c>
      <c r="C4" s="17">
        <v>3.3</v>
      </c>
    </row>
    <row r="5" spans="1:3" x14ac:dyDescent="0.35">
      <c r="A5" s="15" t="s">
        <v>127</v>
      </c>
      <c r="B5" s="1">
        <v>0.36249999999999999</v>
      </c>
      <c r="C5" s="17">
        <v>3.1333333333333329</v>
      </c>
    </row>
    <row r="6" spans="1:3" x14ac:dyDescent="0.35">
      <c r="A6" s="15" t="s">
        <v>135</v>
      </c>
      <c r="B6" s="1">
        <v>0.49</v>
      </c>
      <c r="C6" s="17"/>
    </row>
    <row r="7" spans="1:3" x14ac:dyDescent="0.35">
      <c r="A7" s="15" t="s">
        <v>129</v>
      </c>
      <c r="B7" s="1">
        <v>0.41222222222222221</v>
      </c>
      <c r="C7" s="17">
        <v>3.4285714285714293</v>
      </c>
    </row>
    <row r="8" spans="1:3" x14ac:dyDescent="0.35">
      <c r="A8" s="15" t="s">
        <v>136</v>
      </c>
      <c r="B8" s="1">
        <v>0.55000000000000004</v>
      </c>
      <c r="C8" s="17"/>
    </row>
    <row r="9" spans="1:3" x14ac:dyDescent="0.35">
      <c r="A9" s="15" t="s">
        <v>130</v>
      </c>
      <c r="B9" s="1">
        <v>0.38428571428571434</v>
      </c>
      <c r="C9" s="17">
        <v>4.7333333333333334</v>
      </c>
    </row>
    <row r="10" spans="1:3" x14ac:dyDescent="0.35">
      <c r="A10" s="15" t="s">
        <v>128</v>
      </c>
      <c r="B10" s="1">
        <v>0.31777777777777783</v>
      </c>
      <c r="C10" s="17">
        <v>4.333333333333333</v>
      </c>
    </row>
    <row r="11" spans="1:3" x14ac:dyDescent="0.35">
      <c r="A11" s="15" t="s">
        <v>131</v>
      </c>
      <c r="B11" s="1">
        <v>0.27999999999999997</v>
      </c>
      <c r="C11" s="17">
        <v>3.1</v>
      </c>
    </row>
    <row r="12" spans="1:3" x14ac:dyDescent="0.35">
      <c r="A12" s="15" t="s">
        <v>126</v>
      </c>
      <c r="B12" s="1">
        <v>0.42391304347826086</v>
      </c>
      <c r="C12" s="17">
        <v>3.8909090909090907</v>
      </c>
    </row>
    <row r="13" spans="1:3" x14ac:dyDescent="0.35">
      <c r="A13" s="15" t="s">
        <v>124</v>
      </c>
      <c r="B13" s="1">
        <v>0.3791666666666666</v>
      </c>
      <c r="C13" s="17">
        <v>3.4714285714285715</v>
      </c>
    </row>
    <row r="14" spans="1:3" x14ac:dyDescent="0.35">
      <c r="A14" s="15" t="s">
        <v>134</v>
      </c>
      <c r="B14" s="1">
        <v>0.215</v>
      </c>
      <c r="C14" s="17"/>
    </row>
    <row r="15" spans="1:3" x14ac:dyDescent="0.35">
      <c r="A15" s="15" t="s">
        <v>133</v>
      </c>
      <c r="B15" s="1">
        <v>0.34875000000000006</v>
      </c>
      <c r="C15" s="17">
        <v>3.7399999999999998</v>
      </c>
    </row>
    <row r="16" spans="1:3" x14ac:dyDescent="0.35">
      <c r="A16" s="15" t="s">
        <v>125</v>
      </c>
      <c r="B16" s="1">
        <v>0.32052631578947366</v>
      </c>
      <c r="C16" s="17">
        <v>3.9636363636363638</v>
      </c>
    </row>
    <row r="17" spans="1:3" x14ac:dyDescent="0.35">
      <c r="A17" s="15" t="s">
        <v>138</v>
      </c>
      <c r="B17" s="1">
        <v>0.36776785714285731</v>
      </c>
      <c r="C17" s="17">
        <v>3.7508474576271174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FD23E-7B32-4D3A-95AC-F9FC9EA97B2C}">
  <dimension ref="A3:B113"/>
  <sheetViews>
    <sheetView workbookViewId="0">
      <selection activeCell="A4" sqref="A4"/>
    </sheetView>
  </sheetViews>
  <sheetFormatPr defaultRowHeight="14.5" x14ac:dyDescent="0.35"/>
  <cols>
    <col min="1" max="1" width="89.1796875" bestFit="1" customWidth="1"/>
    <col min="2" max="2" width="13.08984375" style="21" bestFit="1" customWidth="1"/>
  </cols>
  <sheetData>
    <row r="3" spans="1:2" x14ac:dyDescent="0.35">
      <c r="A3" s="20" t="s">
        <v>137</v>
      </c>
      <c r="B3" s="21" t="s">
        <v>147</v>
      </c>
    </row>
    <row r="4" spans="1:2" x14ac:dyDescent="0.35">
      <c r="A4" s="15" t="s">
        <v>42</v>
      </c>
      <c r="B4" s="21">
        <v>2</v>
      </c>
    </row>
    <row r="5" spans="1:2" x14ac:dyDescent="0.35">
      <c r="A5" s="15" t="s">
        <v>15</v>
      </c>
      <c r="B5" s="21">
        <v>39</v>
      </c>
    </row>
    <row r="6" spans="1:2" x14ac:dyDescent="0.35">
      <c r="A6" s="15" t="s">
        <v>4</v>
      </c>
      <c r="B6" s="21">
        <v>2</v>
      </c>
    </row>
    <row r="7" spans="1:2" x14ac:dyDescent="0.35">
      <c r="A7" s="15" t="s">
        <v>31</v>
      </c>
      <c r="B7" s="21">
        <v>13</v>
      </c>
    </row>
    <row r="8" spans="1:2" x14ac:dyDescent="0.35">
      <c r="A8" s="15" t="s">
        <v>35</v>
      </c>
      <c r="B8" s="21">
        <v>12</v>
      </c>
    </row>
    <row r="9" spans="1:2" x14ac:dyDescent="0.35">
      <c r="A9" s="15" t="s">
        <v>65</v>
      </c>
      <c r="B9" s="21">
        <v>69</v>
      </c>
    </row>
    <row r="10" spans="1:2" x14ac:dyDescent="0.35">
      <c r="A10" s="15" t="s">
        <v>61</v>
      </c>
    </row>
    <row r="11" spans="1:2" x14ac:dyDescent="0.35">
      <c r="A11" s="15" t="s">
        <v>13</v>
      </c>
      <c r="B11" s="21">
        <v>5</v>
      </c>
    </row>
    <row r="12" spans="1:2" x14ac:dyDescent="0.35">
      <c r="A12" s="15" t="s">
        <v>10</v>
      </c>
      <c r="B12" s="21">
        <v>55</v>
      </c>
    </row>
    <row r="13" spans="1:2" x14ac:dyDescent="0.35">
      <c r="A13" s="15" t="s">
        <v>105</v>
      </c>
    </row>
    <row r="14" spans="1:2" x14ac:dyDescent="0.35">
      <c r="A14" s="15" t="s">
        <v>84</v>
      </c>
    </row>
    <row r="15" spans="1:2" x14ac:dyDescent="0.35">
      <c r="A15" s="15" t="s">
        <v>9</v>
      </c>
      <c r="B15" s="21">
        <v>15</v>
      </c>
    </row>
    <row r="16" spans="1:2" x14ac:dyDescent="0.35">
      <c r="A16" s="15" t="s">
        <v>104</v>
      </c>
    </row>
    <row r="17" spans="1:2" x14ac:dyDescent="0.35">
      <c r="A17" s="15" t="s">
        <v>95</v>
      </c>
    </row>
    <row r="18" spans="1:2" x14ac:dyDescent="0.35">
      <c r="A18" s="15" t="s">
        <v>51</v>
      </c>
    </row>
    <row r="19" spans="1:2" x14ac:dyDescent="0.35">
      <c r="A19" s="15" t="s">
        <v>77</v>
      </c>
    </row>
    <row r="20" spans="1:2" x14ac:dyDescent="0.35">
      <c r="A20" s="15" t="s">
        <v>70</v>
      </c>
      <c r="B20" s="21">
        <v>5</v>
      </c>
    </row>
    <row r="21" spans="1:2" x14ac:dyDescent="0.35">
      <c r="A21" s="15" t="s">
        <v>69</v>
      </c>
      <c r="B21" s="21">
        <v>7</v>
      </c>
    </row>
    <row r="22" spans="1:2" x14ac:dyDescent="0.35">
      <c r="A22" s="15" t="s">
        <v>23</v>
      </c>
      <c r="B22" s="21">
        <v>44</v>
      </c>
    </row>
    <row r="23" spans="1:2" x14ac:dyDescent="0.35">
      <c r="A23" s="15" t="s">
        <v>78</v>
      </c>
    </row>
    <row r="24" spans="1:2" x14ac:dyDescent="0.35">
      <c r="A24" s="15" t="s">
        <v>24</v>
      </c>
      <c r="B24" s="21">
        <v>13</v>
      </c>
    </row>
    <row r="25" spans="1:2" x14ac:dyDescent="0.35">
      <c r="A25" s="15" t="s">
        <v>98</v>
      </c>
    </row>
    <row r="26" spans="1:2" x14ac:dyDescent="0.35">
      <c r="A26" s="15" t="s">
        <v>16</v>
      </c>
      <c r="B26" s="21">
        <v>12</v>
      </c>
    </row>
    <row r="27" spans="1:2" x14ac:dyDescent="0.35">
      <c r="A27" s="15" t="s">
        <v>44</v>
      </c>
    </row>
    <row r="28" spans="1:2" x14ac:dyDescent="0.35">
      <c r="A28" s="15" t="s">
        <v>25</v>
      </c>
    </row>
    <row r="29" spans="1:2" x14ac:dyDescent="0.35">
      <c r="A29" s="15" t="s">
        <v>62</v>
      </c>
      <c r="B29" s="21">
        <v>6</v>
      </c>
    </row>
    <row r="30" spans="1:2" x14ac:dyDescent="0.35">
      <c r="A30" s="15" t="s">
        <v>32</v>
      </c>
      <c r="B30" s="21">
        <v>20</v>
      </c>
    </row>
    <row r="31" spans="1:2" x14ac:dyDescent="0.35">
      <c r="A31" s="15" t="s">
        <v>38</v>
      </c>
      <c r="B31" s="21">
        <v>32</v>
      </c>
    </row>
    <row r="32" spans="1:2" x14ac:dyDescent="0.35">
      <c r="A32" s="15" t="s">
        <v>37</v>
      </c>
      <c r="B32" s="21">
        <v>20</v>
      </c>
    </row>
    <row r="33" spans="1:2" x14ac:dyDescent="0.35">
      <c r="A33" s="15" t="s">
        <v>83</v>
      </c>
    </row>
    <row r="34" spans="1:2" x14ac:dyDescent="0.35">
      <c r="A34" s="15" t="s">
        <v>64</v>
      </c>
      <c r="B34" s="21">
        <v>13</v>
      </c>
    </row>
    <row r="35" spans="1:2" x14ac:dyDescent="0.35">
      <c r="A35" s="15" t="s">
        <v>110</v>
      </c>
    </row>
    <row r="36" spans="1:2" x14ac:dyDescent="0.35">
      <c r="A36" s="15" t="s">
        <v>94</v>
      </c>
    </row>
    <row r="37" spans="1:2" x14ac:dyDescent="0.35">
      <c r="A37" s="15" t="s">
        <v>49</v>
      </c>
    </row>
    <row r="38" spans="1:2" x14ac:dyDescent="0.35">
      <c r="A38" s="15" t="s">
        <v>80</v>
      </c>
    </row>
    <row r="39" spans="1:2" x14ac:dyDescent="0.35">
      <c r="A39" s="15" t="s">
        <v>75</v>
      </c>
      <c r="B39" s="21">
        <v>6</v>
      </c>
    </row>
    <row r="40" spans="1:2" x14ac:dyDescent="0.35">
      <c r="A40" s="15" t="s">
        <v>101</v>
      </c>
    </row>
    <row r="41" spans="1:2" x14ac:dyDescent="0.35">
      <c r="A41" s="15" t="s">
        <v>103</v>
      </c>
    </row>
    <row r="42" spans="1:2" x14ac:dyDescent="0.35">
      <c r="A42" s="15" t="s">
        <v>71</v>
      </c>
      <c r="B42" s="21">
        <v>17</v>
      </c>
    </row>
    <row r="43" spans="1:2" x14ac:dyDescent="0.35">
      <c r="A43" s="15" t="s">
        <v>60</v>
      </c>
    </row>
    <row r="44" spans="1:2" x14ac:dyDescent="0.35">
      <c r="A44" s="15" t="s">
        <v>19</v>
      </c>
      <c r="B44" s="21">
        <v>2</v>
      </c>
    </row>
    <row r="45" spans="1:2" x14ac:dyDescent="0.35">
      <c r="A45" s="15" t="s">
        <v>68</v>
      </c>
      <c r="B45" s="21">
        <v>6</v>
      </c>
    </row>
    <row r="46" spans="1:2" x14ac:dyDescent="0.35">
      <c r="A46" s="15" t="s">
        <v>100</v>
      </c>
    </row>
    <row r="47" spans="1:2" x14ac:dyDescent="0.35">
      <c r="A47" s="15" t="s">
        <v>46</v>
      </c>
    </row>
    <row r="48" spans="1:2" x14ac:dyDescent="0.35">
      <c r="A48" s="15" t="s">
        <v>82</v>
      </c>
      <c r="B48" s="21">
        <v>1</v>
      </c>
    </row>
    <row r="49" spans="1:2" x14ac:dyDescent="0.35">
      <c r="A49" s="15" t="s">
        <v>112</v>
      </c>
    </row>
    <row r="50" spans="1:2" x14ac:dyDescent="0.35">
      <c r="A50" s="15" t="s">
        <v>53</v>
      </c>
    </row>
    <row r="51" spans="1:2" x14ac:dyDescent="0.35">
      <c r="A51" s="15" t="s">
        <v>50</v>
      </c>
    </row>
    <row r="52" spans="1:2" x14ac:dyDescent="0.35">
      <c r="A52" s="15" t="s">
        <v>87</v>
      </c>
    </row>
    <row r="53" spans="1:2" x14ac:dyDescent="0.35">
      <c r="A53" s="15" t="s">
        <v>107</v>
      </c>
    </row>
    <row r="54" spans="1:2" x14ac:dyDescent="0.35">
      <c r="A54" s="15" t="s">
        <v>48</v>
      </c>
    </row>
    <row r="55" spans="1:2" x14ac:dyDescent="0.35">
      <c r="A55" s="15" t="s">
        <v>59</v>
      </c>
    </row>
    <row r="56" spans="1:2" x14ac:dyDescent="0.35">
      <c r="A56" s="15" t="s">
        <v>40</v>
      </c>
      <c r="B56" s="21">
        <v>2</v>
      </c>
    </row>
    <row r="57" spans="1:2" x14ac:dyDescent="0.35">
      <c r="A57" s="15" t="s">
        <v>52</v>
      </c>
    </row>
    <row r="58" spans="1:2" x14ac:dyDescent="0.35">
      <c r="A58" s="15" t="s">
        <v>79</v>
      </c>
    </row>
    <row r="59" spans="1:2" x14ac:dyDescent="0.35">
      <c r="A59" s="15" t="s">
        <v>57</v>
      </c>
    </row>
    <row r="60" spans="1:2" x14ac:dyDescent="0.35">
      <c r="A60" s="15" t="s">
        <v>11</v>
      </c>
      <c r="B60" s="21">
        <v>2</v>
      </c>
    </row>
    <row r="61" spans="1:2" x14ac:dyDescent="0.35">
      <c r="A61" s="15" t="s">
        <v>39</v>
      </c>
      <c r="B61" s="21">
        <v>1</v>
      </c>
    </row>
    <row r="62" spans="1:2" x14ac:dyDescent="0.35">
      <c r="A62" s="15" t="s">
        <v>76</v>
      </c>
      <c r="B62" s="21">
        <v>7</v>
      </c>
    </row>
    <row r="63" spans="1:2" x14ac:dyDescent="0.35">
      <c r="A63" s="15" t="s">
        <v>29</v>
      </c>
      <c r="B63" s="21">
        <v>49</v>
      </c>
    </row>
    <row r="64" spans="1:2" x14ac:dyDescent="0.35">
      <c r="A64" s="15" t="s">
        <v>34</v>
      </c>
      <c r="B64" s="21">
        <v>9</v>
      </c>
    </row>
    <row r="65" spans="1:2" x14ac:dyDescent="0.35">
      <c r="A65" s="15" t="s">
        <v>27</v>
      </c>
      <c r="B65" s="21">
        <v>14</v>
      </c>
    </row>
    <row r="66" spans="1:2" x14ac:dyDescent="0.35">
      <c r="A66" s="15" t="s">
        <v>14</v>
      </c>
      <c r="B66" s="21">
        <v>12</v>
      </c>
    </row>
    <row r="67" spans="1:2" x14ac:dyDescent="0.35">
      <c r="A67" s="15" t="s">
        <v>85</v>
      </c>
      <c r="B67" s="21">
        <v>1</v>
      </c>
    </row>
    <row r="68" spans="1:2" x14ac:dyDescent="0.35">
      <c r="A68" s="15" t="s">
        <v>66</v>
      </c>
      <c r="B68" s="21">
        <v>15</v>
      </c>
    </row>
    <row r="69" spans="1:2" x14ac:dyDescent="0.35">
      <c r="A69" s="15" t="s">
        <v>102</v>
      </c>
      <c r="B69" s="21">
        <v>1</v>
      </c>
    </row>
    <row r="70" spans="1:2" x14ac:dyDescent="0.35">
      <c r="A70" s="15" t="s">
        <v>72</v>
      </c>
      <c r="B70" s="21">
        <v>5</v>
      </c>
    </row>
    <row r="71" spans="1:2" x14ac:dyDescent="0.35">
      <c r="A71" s="15" t="s">
        <v>28</v>
      </c>
      <c r="B71" s="21">
        <v>7</v>
      </c>
    </row>
    <row r="72" spans="1:2" x14ac:dyDescent="0.35">
      <c r="A72" s="15" t="s">
        <v>21</v>
      </c>
      <c r="B72" s="21">
        <v>3</v>
      </c>
    </row>
    <row r="73" spans="1:2" x14ac:dyDescent="0.35">
      <c r="A73" s="15" t="s">
        <v>17</v>
      </c>
      <c r="B73" s="21">
        <v>6</v>
      </c>
    </row>
    <row r="74" spans="1:2" x14ac:dyDescent="0.35">
      <c r="A74" s="15" t="s">
        <v>12</v>
      </c>
      <c r="B74" s="21">
        <v>5</v>
      </c>
    </row>
    <row r="75" spans="1:2" x14ac:dyDescent="0.35">
      <c r="A75" s="15" t="s">
        <v>43</v>
      </c>
    </row>
    <row r="76" spans="1:2" x14ac:dyDescent="0.35">
      <c r="A76" s="15" t="s">
        <v>36</v>
      </c>
      <c r="B76" s="21">
        <v>9</v>
      </c>
    </row>
    <row r="77" spans="1:2" x14ac:dyDescent="0.35">
      <c r="A77" s="15" t="s">
        <v>26</v>
      </c>
      <c r="B77" s="21">
        <v>6</v>
      </c>
    </row>
    <row r="78" spans="1:2" x14ac:dyDescent="0.35">
      <c r="A78" s="15" t="s">
        <v>106</v>
      </c>
    </row>
    <row r="79" spans="1:2" x14ac:dyDescent="0.35">
      <c r="A79" s="15" t="s">
        <v>22</v>
      </c>
      <c r="B79" s="21">
        <v>5</v>
      </c>
    </row>
    <row r="80" spans="1:2" x14ac:dyDescent="0.35">
      <c r="A80" s="15" t="s">
        <v>81</v>
      </c>
      <c r="B80" s="21">
        <v>1</v>
      </c>
    </row>
    <row r="81" spans="1:2" x14ac:dyDescent="0.35">
      <c r="A81" s="15" t="s">
        <v>5</v>
      </c>
      <c r="B81" s="21">
        <v>14</v>
      </c>
    </row>
    <row r="82" spans="1:2" x14ac:dyDescent="0.35">
      <c r="A82" s="15" t="s">
        <v>99</v>
      </c>
    </row>
    <row r="83" spans="1:2" x14ac:dyDescent="0.35">
      <c r="A83" s="15" t="s">
        <v>45</v>
      </c>
    </row>
    <row r="84" spans="1:2" x14ac:dyDescent="0.35">
      <c r="A84" s="15" t="s">
        <v>18</v>
      </c>
      <c r="B84" s="21">
        <v>9</v>
      </c>
    </row>
    <row r="85" spans="1:2" x14ac:dyDescent="0.35">
      <c r="A85" s="15" t="s">
        <v>90</v>
      </c>
    </row>
    <row r="86" spans="1:2" x14ac:dyDescent="0.35">
      <c r="A86" s="15" t="s">
        <v>33</v>
      </c>
    </row>
    <row r="87" spans="1:2" x14ac:dyDescent="0.35">
      <c r="A87" s="15" t="s">
        <v>56</v>
      </c>
    </row>
    <row r="88" spans="1:2" x14ac:dyDescent="0.35">
      <c r="A88" s="15" t="s">
        <v>63</v>
      </c>
      <c r="B88" s="21">
        <v>10</v>
      </c>
    </row>
    <row r="89" spans="1:2" x14ac:dyDescent="0.35">
      <c r="A89" s="15" t="s">
        <v>86</v>
      </c>
    </row>
    <row r="90" spans="1:2" x14ac:dyDescent="0.35">
      <c r="A90" s="15" t="s">
        <v>88</v>
      </c>
    </row>
    <row r="91" spans="1:2" x14ac:dyDescent="0.35">
      <c r="A91" s="15" t="s">
        <v>20</v>
      </c>
      <c r="B91" s="21">
        <v>2</v>
      </c>
    </row>
    <row r="92" spans="1:2" x14ac:dyDescent="0.35">
      <c r="A92" s="15" t="s">
        <v>54</v>
      </c>
    </row>
    <row r="93" spans="1:2" x14ac:dyDescent="0.35">
      <c r="A93" s="15" t="s">
        <v>55</v>
      </c>
    </row>
    <row r="94" spans="1:2" x14ac:dyDescent="0.35">
      <c r="A94" s="15" t="s">
        <v>8</v>
      </c>
      <c r="B94" s="21">
        <v>5</v>
      </c>
    </row>
    <row r="95" spans="1:2" x14ac:dyDescent="0.35">
      <c r="A95" s="15" t="s">
        <v>6</v>
      </c>
      <c r="B95" s="21">
        <v>24</v>
      </c>
    </row>
    <row r="96" spans="1:2" x14ac:dyDescent="0.35">
      <c r="A96" s="15" t="s">
        <v>97</v>
      </c>
    </row>
    <row r="97" spans="1:2" x14ac:dyDescent="0.35">
      <c r="A97" s="15" t="s">
        <v>30</v>
      </c>
      <c r="B97" s="21">
        <v>12</v>
      </c>
    </row>
    <row r="98" spans="1:2" x14ac:dyDescent="0.35">
      <c r="A98" s="15" t="s">
        <v>92</v>
      </c>
    </row>
    <row r="99" spans="1:2" x14ac:dyDescent="0.35">
      <c r="A99" s="15" t="s">
        <v>41</v>
      </c>
      <c r="B99" s="21">
        <v>36</v>
      </c>
    </row>
    <row r="100" spans="1:2" x14ac:dyDescent="0.35">
      <c r="A100" s="15" t="s">
        <v>93</v>
      </c>
    </row>
    <row r="101" spans="1:2" x14ac:dyDescent="0.35">
      <c r="A101" s="15" t="s">
        <v>47</v>
      </c>
    </row>
    <row r="102" spans="1:2" x14ac:dyDescent="0.35">
      <c r="A102" s="15" t="s">
        <v>108</v>
      </c>
    </row>
    <row r="103" spans="1:2" x14ac:dyDescent="0.35">
      <c r="A103" s="15" t="s">
        <v>58</v>
      </c>
    </row>
    <row r="104" spans="1:2" x14ac:dyDescent="0.35">
      <c r="A104" s="15" t="s">
        <v>109</v>
      </c>
    </row>
    <row r="105" spans="1:2" x14ac:dyDescent="0.35">
      <c r="A105" s="15" t="s">
        <v>67</v>
      </c>
      <c r="B105" s="21">
        <v>16</v>
      </c>
    </row>
    <row r="106" spans="1:2" x14ac:dyDescent="0.35">
      <c r="A106" s="15" t="s">
        <v>91</v>
      </c>
    </row>
    <row r="107" spans="1:2" x14ac:dyDescent="0.35">
      <c r="A107" s="15" t="s">
        <v>96</v>
      </c>
    </row>
    <row r="108" spans="1:2" x14ac:dyDescent="0.35">
      <c r="A108" s="15" t="s">
        <v>111</v>
      </c>
      <c r="B108" s="21">
        <v>1</v>
      </c>
    </row>
    <row r="109" spans="1:2" x14ac:dyDescent="0.35">
      <c r="A109" s="15" t="s">
        <v>89</v>
      </c>
    </row>
    <row r="110" spans="1:2" x14ac:dyDescent="0.35">
      <c r="A110" s="15" t="s">
        <v>73</v>
      </c>
      <c r="B110" s="21">
        <v>6</v>
      </c>
    </row>
    <row r="111" spans="1:2" x14ac:dyDescent="0.35">
      <c r="A111" s="15" t="s">
        <v>7</v>
      </c>
      <c r="B111" s="21">
        <v>7</v>
      </c>
    </row>
    <row r="112" spans="1:2" x14ac:dyDescent="0.35">
      <c r="A112" s="15" t="s">
        <v>74</v>
      </c>
      <c r="B112" s="21">
        <v>5</v>
      </c>
    </row>
    <row r="113" spans="1:2" x14ac:dyDescent="0.35">
      <c r="A113" s="15" t="s">
        <v>138</v>
      </c>
      <c r="B113" s="21">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0585B-B3D1-4F9B-8B85-C32E6B990028}">
  <dimension ref="B1:C25"/>
  <sheetViews>
    <sheetView workbookViewId="0">
      <selection activeCell="A21" sqref="A21"/>
    </sheetView>
  </sheetViews>
  <sheetFormatPr defaultRowHeight="14.5" x14ac:dyDescent="0.35"/>
  <cols>
    <col min="2" max="2" width="69.54296875" bestFit="1" customWidth="1"/>
    <col min="3" max="3" width="18.453125" bestFit="1" customWidth="1"/>
  </cols>
  <sheetData>
    <row r="1" spans="2:3" x14ac:dyDescent="0.35">
      <c r="B1" s="23" t="s">
        <v>146</v>
      </c>
      <c r="C1" s="23"/>
    </row>
    <row r="2" spans="2:3" x14ac:dyDescent="0.35">
      <c r="B2" s="4" t="s">
        <v>142</v>
      </c>
      <c r="C2" s="4" t="s">
        <v>145</v>
      </c>
    </row>
    <row r="3" spans="2:3" x14ac:dyDescent="0.35">
      <c r="B3" s="6" t="s">
        <v>52</v>
      </c>
      <c r="C3" s="6">
        <v>1.1000000000000001</v>
      </c>
    </row>
    <row r="4" spans="2:3" x14ac:dyDescent="0.35">
      <c r="B4" s="6" t="s">
        <v>58</v>
      </c>
      <c r="C4" s="6">
        <v>1</v>
      </c>
    </row>
    <row r="5" spans="2:3" x14ac:dyDescent="0.35">
      <c r="B5" s="6" t="s">
        <v>60</v>
      </c>
      <c r="C5" s="6">
        <v>0.98</v>
      </c>
    </row>
    <row r="6" spans="2:3" x14ac:dyDescent="0.35">
      <c r="B6" s="6" t="s">
        <v>110</v>
      </c>
      <c r="C6" s="6">
        <v>0.64</v>
      </c>
    </row>
    <row r="7" spans="2:3" x14ac:dyDescent="0.35">
      <c r="B7" s="6" t="s">
        <v>12</v>
      </c>
      <c r="C7" s="6">
        <v>0.55000000000000004</v>
      </c>
    </row>
    <row r="8" spans="2:3" x14ac:dyDescent="0.35">
      <c r="B8" s="6" t="s">
        <v>64</v>
      </c>
      <c r="C8" s="6">
        <v>0.55000000000000004</v>
      </c>
    </row>
    <row r="9" spans="2:3" x14ac:dyDescent="0.35">
      <c r="B9" s="6" t="s">
        <v>28</v>
      </c>
      <c r="C9" s="6">
        <v>0.54</v>
      </c>
    </row>
    <row r="10" spans="2:3" x14ac:dyDescent="0.35">
      <c r="B10" s="6" t="s">
        <v>63</v>
      </c>
      <c r="C10" s="6">
        <v>0.54</v>
      </c>
    </row>
    <row r="11" spans="2:3" x14ac:dyDescent="0.35">
      <c r="B11" s="6" t="s">
        <v>24</v>
      </c>
      <c r="C11" s="6">
        <v>0.53</v>
      </c>
    </row>
    <row r="12" spans="2:3" x14ac:dyDescent="0.35">
      <c r="B12" s="6" t="s">
        <v>40</v>
      </c>
      <c r="C12" s="6">
        <v>0.53</v>
      </c>
    </row>
    <row r="14" spans="2:3" ht="14.5" customHeight="1" x14ac:dyDescent="0.35">
      <c r="B14" s="24" t="s">
        <v>149</v>
      </c>
      <c r="C14" s="23"/>
    </row>
    <row r="15" spans="2:3" x14ac:dyDescent="0.35">
      <c r="B15" s="4" t="s">
        <v>142</v>
      </c>
      <c r="C15" s="4" t="s">
        <v>148</v>
      </c>
    </row>
    <row r="16" spans="2:3" x14ac:dyDescent="0.35">
      <c r="B16" s="6" t="s">
        <v>65</v>
      </c>
      <c r="C16" s="6">
        <v>69</v>
      </c>
    </row>
    <row r="17" spans="2:3" x14ac:dyDescent="0.35">
      <c r="B17" s="6" t="s">
        <v>10</v>
      </c>
      <c r="C17" s="6">
        <v>55</v>
      </c>
    </row>
    <row r="18" spans="2:3" x14ac:dyDescent="0.35">
      <c r="B18" s="6" t="s">
        <v>29</v>
      </c>
      <c r="C18" s="6">
        <v>49</v>
      </c>
    </row>
    <row r="19" spans="2:3" x14ac:dyDescent="0.35">
      <c r="B19" s="6" t="s">
        <v>23</v>
      </c>
      <c r="C19" s="6">
        <v>44</v>
      </c>
    </row>
    <row r="20" spans="2:3" x14ac:dyDescent="0.35">
      <c r="B20" s="6" t="s">
        <v>15</v>
      </c>
      <c r="C20" s="6">
        <v>39</v>
      </c>
    </row>
    <row r="21" spans="2:3" x14ac:dyDescent="0.35">
      <c r="B21" s="6" t="s">
        <v>41</v>
      </c>
      <c r="C21" s="6">
        <v>36</v>
      </c>
    </row>
    <row r="22" spans="2:3" x14ac:dyDescent="0.35">
      <c r="B22" s="6" t="s">
        <v>38</v>
      </c>
      <c r="C22" s="6">
        <v>32</v>
      </c>
    </row>
    <row r="23" spans="2:3" x14ac:dyDescent="0.35">
      <c r="B23" s="6" t="s">
        <v>6</v>
      </c>
      <c r="C23" s="6">
        <v>24</v>
      </c>
    </row>
    <row r="24" spans="2:3" x14ac:dyDescent="0.35">
      <c r="B24" s="6" t="s">
        <v>37</v>
      </c>
      <c r="C24" s="6">
        <v>20</v>
      </c>
    </row>
    <row r="25" spans="2:3" x14ac:dyDescent="0.35">
      <c r="B25" s="6" t="s">
        <v>32</v>
      </c>
      <c r="C25" s="6">
        <v>20</v>
      </c>
    </row>
  </sheetData>
  <mergeCells count="2">
    <mergeCell ref="B1:C1"/>
    <mergeCell ref="B14:C1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CD1F4-0A94-4AD1-ADB0-9A42F780D206}">
  <dimension ref="B1:C18"/>
  <sheetViews>
    <sheetView workbookViewId="0">
      <selection activeCell="A21" sqref="A21"/>
    </sheetView>
  </sheetViews>
  <sheetFormatPr defaultRowHeight="14.5" x14ac:dyDescent="0.35"/>
  <cols>
    <col min="2" max="2" width="64.453125" bestFit="1" customWidth="1"/>
  </cols>
  <sheetData>
    <row r="1" spans="2:3" x14ac:dyDescent="0.35">
      <c r="B1" s="25" t="s">
        <v>143</v>
      </c>
      <c r="C1" s="25"/>
    </row>
    <row r="2" spans="2:3" x14ac:dyDescent="0.35">
      <c r="B2" s="4" t="s">
        <v>142</v>
      </c>
      <c r="C2" s="4" t="s">
        <v>113</v>
      </c>
    </row>
    <row r="3" spans="2:3" x14ac:dyDescent="0.35">
      <c r="B3" s="6" t="s">
        <v>19</v>
      </c>
      <c r="C3" s="6">
        <v>5</v>
      </c>
    </row>
    <row r="4" spans="2:3" x14ac:dyDescent="0.35">
      <c r="B4" s="6" t="s">
        <v>21</v>
      </c>
      <c r="C4" s="6">
        <v>5</v>
      </c>
    </row>
    <row r="5" spans="2:3" x14ac:dyDescent="0.35">
      <c r="B5" s="6" t="s">
        <v>102</v>
      </c>
      <c r="C5" s="6">
        <v>5</v>
      </c>
    </row>
    <row r="6" spans="2:3" x14ac:dyDescent="0.35">
      <c r="B6" s="6" t="s">
        <v>82</v>
      </c>
      <c r="C6" s="6">
        <v>5</v>
      </c>
    </row>
    <row r="7" spans="2:3" x14ac:dyDescent="0.35">
      <c r="B7" s="6" t="s">
        <v>20</v>
      </c>
      <c r="C7" s="6">
        <v>5</v>
      </c>
    </row>
    <row r="12" spans="2:3" x14ac:dyDescent="0.35">
      <c r="B12" s="25" t="s">
        <v>144</v>
      </c>
      <c r="C12" s="25"/>
    </row>
    <row r="13" spans="2:3" x14ac:dyDescent="0.35">
      <c r="B13" s="4" t="s">
        <v>142</v>
      </c>
      <c r="C13" s="4" t="s">
        <v>113</v>
      </c>
    </row>
    <row r="14" spans="2:3" x14ac:dyDescent="0.35">
      <c r="B14" s="6" t="s">
        <v>77</v>
      </c>
      <c r="C14" s="6">
        <v>2.1</v>
      </c>
    </row>
    <row r="15" spans="2:3" x14ac:dyDescent="0.35">
      <c r="B15" s="6" t="s">
        <v>64</v>
      </c>
      <c r="C15" s="6">
        <v>2.1</v>
      </c>
    </row>
    <row r="16" spans="2:3" x14ac:dyDescent="0.35">
      <c r="B16" s="6" t="s">
        <v>65</v>
      </c>
      <c r="C16" s="6">
        <v>2.1</v>
      </c>
    </row>
    <row r="17" spans="2:3" x14ac:dyDescent="0.35">
      <c r="B17" s="6" t="s">
        <v>60</v>
      </c>
      <c r="C17" s="6">
        <v>2</v>
      </c>
    </row>
    <row r="18" spans="2:3" x14ac:dyDescent="0.35">
      <c r="B18" s="6" t="s">
        <v>111</v>
      </c>
      <c r="C18" s="6">
        <v>2</v>
      </c>
    </row>
  </sheetData>
  <mergeCells count="2">
    <mergeCell ref="B1:C1"/>
    <mergeCell ref="B12:C1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0DC9-CAB2-4589-BC45-F1A53953F68F}">
  <dimension ref="A3:B14"/>
  <sheetViews>
    <sheetView zoomScale="90" zoomScaleNormal="90" workbookViewId="0">
      <selection activeCell="A12" sqref="A4:A13"/>
      <pivotSelection pane="bottomRight" showHeader="1" activeRow="11" click="1" r:id="rId1">
        <pivotArea dataOnly="0" labelOnly="1" fieldPosition="0">
          <references count="1">
            <reference field="0" count="0"/>
          </references>
        </pivotArea>
      </pivotSelection>
    </sheetView>
  </sheetViews>
  <sheetFormatPr defaultRowHeight="14.5" x14ac:dyDescent="0.35"/>
  <cols>
    <col min="1" max="1" width="65.6328125" bestFit="1" customWidth="1"/>
    <col min="2" max="2" width="13.54296875" bestFit="1" customWidth="1"/>
    <col min="3" max="3" width="13.453125" bestFit="1" customWidth="1"/>
    <col min="4" max="4" width="24.90625" bestFit="1" customWidth="1"/>
  </cols>
  <sheetData>
    <row r="3" spans="1:2" x14ac:dyDescent="0.35">
      <c r="A3" s="14" t="s">
        <v>137</v>
      </c>
      <c r="B3" t="s">
        <v>150</v>
      </c>
    </row>
    <row r="4" spans="1:2" x14ac:dyDescent="0.35">
      <c r="A4" s="15" t="s">
        <v>16</v>
      </c>
      <c r="B4" s="16">
        <v>4.8</v>
      </c>
    </row>
    <row r="5" spans="1:2" x14ac:dyDescent="0.35">
      <c r="A5" s="15" t="s">
        <v>8</v>
      </c>
      <c r="B5" s="16">
        <v>4.8</v>
      </c>
    </row>
    <row r="6" spans="1:2" x14ac:dyDescent="0.35">
      <c r="A6" s="15" t="s">
        <v>12</v>
      </c>
      <c r="B6" s="16">
        <v>4.8</v>
      </c>
    </row>
    <row r="7" spans="1:2" x14ac:dyDescent="0.35">
      <c r="A7" s="15" t="s">
        <v>39</v>
      </c>
      <c r="B7" s="16">
        <v>5</v>
      </c>
    </row>
    <row r="8" spans="1:2" x14ac:dyDescent="0.35">
      <c r="A8" s="15" t="s">
        <v>21</v>
      </c>
      <c r="B8" s="16">
        <v>5</v>
      </c>
    </row>
    <row r="9" spans="1:2" x14ac:dyDescent="0.35">
      <c r="A9" s="15" t="s">
        <v>82</v>
      </c>
      <c r="B9" s="16">
        <v>5</v>
      </c>
    </row>
    <row r="10" spans="1:2" x14ac:dyDescent="0.35">
      <c r="A10" s="15" t="s">
        <v>102</v>
      </c>
      <c r="B10" s="16">
        <v>5</v>
      </c>
    </row>
    <row r="11" spans="1:2" x14ac:dyDescent="0.35">
      <c r="A11" s="15" t="s">
        <v>20</v>
      </c>
      <c r="B11" s="16">
        <v>5</v>
      </c>
    </row>
    <row r="12" spans="1:2" x14ac:dyDescent="0.35">
      <c r="A12" s="15" t="s">
        <v>19</v>
      </c>
      <c r="B12" s="16">
        <v>5</v>
      </c>
    </row>
    <row r="13" spans="1:2" x14ac:dyDescent="0.35">
      <c r="A13" s="15" t="s">
        <v>40</v>
      </c>
      <c r="B13" s="16">
        <v>5</v>
      </c>
    </row>
    <row r="14" spans="1:2" x14ac:dyDescent="0.35">
      <c r="A14" s="15" t="s">
        <v>138</v>
      </c>
      <c r="B14" s="16">
        <v>49.399999999999991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BA383-848E-40D4-B97F-F51B48331E84}">
  <dimension ref="A3:B14"/>
  <sheetViews>
    <sheetView workbookViewId="0">
      <selection activeCell="A21" sqref="A21"/>
    </sheetView>
  </sheetViews>
  <sheetFormatPr defaultRowHeight="14.5" x14ac:dyDescent="0.35"/>
  <cols>
    <col min="1" max="1" width="61.453125" bestFit="1" customWidth="1"/>
    <col min="2" max="2" width="13.08984375" bestFit="1" customWidth="1"/>
  </cols>
  <sheetData>
    <row r="3" spans="1:2" x14ac:dyDescent="0.35">
      <c r="A3" s="14" t="s">
        <v>137</v>
      </c>
      <c r="B3" t="s">
        <v>147</v>
      </c>
    </row>
    <row r="4" spans="1:2" x14ac:dyDescent="0.35">
      <c r="A4" s="15" t="s">
        <v>32</v>
      </c>
      <c r="B4" s="16">
        <v>20</v>
      </c>
    </row>
    <row r="5" spans="1:2" x14ac:dyDescent="0.35">
      <c r="A5" s="15" t="s">
        <v>37</v>
      </c>
      <c r="B5" s="16">
        <v>20</v>
      </c>
    </row>
    <row r="6" spans="1:2" x14ac:dyDescent="0.35">
      <c r="A6" s="15" t="s">
        <v>6</v>
      </c>
      <c r="B6" s="16">
        <v>24</v>
      </c>
    </row>
    <row r="7" spans="1:2" x14ac:dyDescent="0.35">
      <c r="A7" s="15" t="s">
        <v>38</v>
      </c>
      <c r="B7" s="16">
        <v>32</v>
      </c>
    </row>
    <row r="8" spans="1:2" x14ac:dyDescent="0.35">
      <c r="A8" s="15" t="s">
        <v>41</v>
      </c>
      <c r="B8" s="16">
        <v>36</v>
      </c>
    </row>
    <row r="9" spans="1:2" x14ac:dyDescent="0.35">
      <c r="A9" s="15" t="s">
        <v>15</v>
      </c>
      <c r="B9" s="16">
        <v>39</v>
      </c>
    </row>
    <row r="10" spans="1:2" x14ac:dyDescent="0.35">
      <c r="A10" s="15" t="s">
        <v>23</v>
      </c>
      <c r="B10" s="16">
        <v>44</v>
      </c>
    </row>
    <row r="11" spans="1:2" x14ac:dyDescent="0.35">
      <c r="A11" s="15" t="s">
        <v>29</v>
      </c>
      <c r="B11" s="16">
        <v>49</v>
      </c>
    </row>
    <row r="12" spans="1:2" x14ac:dyDescent="0.35">
      <c r="A12" s="15" t="s">
        <v>10</v>
      </c>
      <c r="B12" s="16">
        <v>55</v>
      </c>
    </row>
    <row r="13" spans="1:2" x14ac:dyDescent="0.35">
      <c r="A13" s="15" t="s">
        <v>65</v>
      </c>
      <c r="B13" s="16">
        <v>69</v>
      </c>
    </row>
    <row r="14" spans="1:2" x14ac:dyDescent="0.35">
      <c r="A14" s="15" t="s">
        <v>138</v>
      </c>
      <c r="B14" s="16">
        <v>388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2F079-1400-4C19-9380-7C364A48125D}">
  <dimension ref="A3:B14"/>
  <sheetViews>
    <sheetView workbookViewId="0">
      <selection activeCell="A21" sqref="A21"/>
    </sheetView>
  </sheetViews>
  <sheetFormatPr defaultRowHeight="14.5" x14ac:dyDescent="0.35"/>
  <cols>
    <col min="1" max="1" width="69.54296875" bestFit="1" customWidth="1"/>
    <col min="2" max="2" width="24.54296875" bestFit="1" customWidth="1"/>
  </cols>
  <sheetData>
    <row r="3" spans="1:2" x14ac:dyDescent="0.35">
      <c r="A3" s="14" t="s">
        <v>137</v>
      </c>
      <c r="B3" t="s">
        <v>151</v>
      </c>
    </row>
    <row r="4" spans="1:2" x14ac:dyDescent="0.35">
      <c r="A4" s="15" t="s">
        <v>40</v>
      </c>
      <c r="B4" s="16">
        <v>0.53</v>
      </c>
    </row>
    <row r="5" spans="1:2" x14ac:dyDescent="0.35">
      <c r="A5" s="15" t="s">
        <v>24</v>
      </c>
      <c r="B5" s="16">
        <v>0.53</v>
      </c>
    </row>
    <row r="6" spans="1:2" x14ac:dyDescent="0.35">
      <c r="A6" s="15" t="s">
        <v>63</v>
      </c>
      <c r="B6" s="16">
        <v>0.54</v>
      </c>
    </row>
    <row r="7" spans="1:2" x14ac:dyDescent="0.35">
      <c r="A7" s="15" t="s">
        <v>28</v>
      </c>
      <c r="B7" s="16">
        <v>0.54</v>
      </c>
    </row>
    <row r="8" spans="1:2" x14ac:dyDescent="0.35">
      <c r="A8" s="15" t="s">
        <v>64</v>
      </c>
      <c r="B8" s="16">
        <v>0.55000000000000004</v>
      </c>
    </row>
    <row r="9" spans="1:2" x14ac:dyDescent="0.35">
      <c r="A9" s="15" t="s">
        <v>12</v>
      </c>
      <c r="B9" s="16">
        <v>0.55000000000000004</v>
      </c>
    </row>
    <row r="10" spans="1:2" x14ac:dyDescent="0.35">
      <c r="A10" s="15" t="s">
        <v>110</v>
      </c>
      <c r="B10" s="16">
        <v>0.64</v>
      </c>
    </row>
    <row r="11" spans="1:2" x14ac:dyDescent="0.35">
      <c r="A11" s="15" t="s">
        <v>60</v>
      </c>
      <c r="B11" s="16">
        <v>0.98</v>
      </c>
    </row>
    <row r="12" spans="1:2" x14ac:dyDescent="0.35">
      <c r="A12" s="15" t="s">
        <v>58</v>
      </c>
      <c r="B12" s="16">
        <v>1</v>
      </c>
    </row>
    <row r="13" spans="1:2" x14ac:dyDescent="0.35">
      <c r="A13" s="15" t="s">
        <v>52</v>
      </c>
      <c r="B13" s="16">
        <v>1.1000000000000001</v>
      </c>
    </row>
    <row r="14" spans="1:2" x14ac:dyDescent="0.35">
      <c r="A14" s="15" t="s">
        <v>138</v>
      </c>
      <c r="B14" s="16">
        <v>6.96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3FB78-9F17-4B76-A89F-5A02C04F0E13}">
  <dimension ref="A3:B8"/>
  <sheetViews>
    <sheetView workbookViewId="0">
      <selection activeCell="A21" sqref="A21"/>
    </sheetView>
  </sheetViews>
  <sheetFormatPr defaultRowHeight="14.5" x14ac:dyDescent="0.35"/>
  <cols>
    <col min="1" max="1" width="12.36328125" bestFit="1" customWidth="1"/>
    <col min="2" max="2" width="15.26953125" bestFit="1" customWidth="1"/>
  </cols>
  <sheetData>
    <row r="3" spans="1:2" x14ac:dyDescent="0.35">
      <c r="A3" s="14" t="s">
        <v>137</v>
      </c>
      <c r="B3" t="s">
        <v>155</v>
      </c>
    </row>
    <row r="4" spans="1:2" x14ac:dyDescent="0.35">
      <c r="A4" s="15" t="s">
        <v>152</v>
      </c>
      <c r="B4" s="16">
        <v>21</v>
      </c>
    </row>
    <row r="5" spans="1:2" x14ac:dyDescent="0.35">
      <c r="A5" s="15" t="s">
        <v>153</v>
      </c>
      <c r="B5" s="16">
        <v>23</v>
      </c>
    </row>
    <row r="6" spans="1:2" x14ac:dyDescent="0.35">
      <c r="A6" s="15" t="s">
        <v>154</v>
      </c>
      <c r="B6" s="16">
        <v>15</v>
      </c>
    </row>
    <row r="7" spans="1:2" x14ac:dyDescent="0.35">
      <c r="A7" s="15" t="s">
        <v>156</v>
      </c>
      <c r="B7" s="16">
        <v>53</v>
      </c>
    </row>
    <row r="8" spans="1:2" x14ac:dyDescent="0.35">
      <c r="A8" s="15" t="s">
        <v>138</v>
      </c>
      <c r="B8" s="16">
        <v>112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DE91F-44EB-4872-860A-709217B1697F}">
  <dimension ref="A3:B7"/>
  <sheetViews>
    <sheetView workbookViewId="0">
      <selection activeCell="A21" sqref="A21"/>
    </sheetView>
  </sheetViews>
  <sheetFormatPr defaultRowHeight="14.5" x14ac:dyDescent="0.35"/>
  <cols>
    <col min="1" max="1" width="15.6328125" bestFit="1" customWidth="1"/>
    <col min="2" max="2" width="15.26953125" bestFit="1" customWidth="1"/>
  </cols>
  <sheetData>
    <row r="3" spans="1:2" x14ac:dyDescent="0.35">
      <c r="A3" s="14" t="s">
        <v>137</v>
      </c>
      <c r="B3" t="s">
        <v>155</v>
      </c>
    </row>
    <row r="4" spans="1:2" x14ac:dyDescent="0.35">
      <c r="A4" s="15" t="s">
        <v>158</v>
      </c>
      <c r="B4" s="16">
        <v>62</v>
      </c>
    </row>
    <row r="5" spans="1:2" x14ac:dyDescent="0.35">
      <c r="A5" s="15" t="s">
        <v>159</v>
      </c>
      <c r="B5" s="16">
        <v>18</v>
      </c>
    </row>
    <row r="6" spans="1:2" x14ac:dyDescent="0.35">
      <c r="A6" s="15" t="s">
        <v>160</v>
      </c>
      <c r="B6" s="16">
        <v>32</v>
      </c>
    </row>
    <row r="7" spans="1:2" x14ac:dyDescent="0.35">
      <c r="A7" s="15" t="s">
        <v>138</v>
      </c>
      <c r="B7" s="16">
        <v>112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14"/>
  <sheetViews>
    <sheetView workbookViewId="0">
      <selection activeCell="G6" sqref="G6"/>
    </sheetView>
  </sheetViews>
  <sheetFormatPr defaultRowHeight="14.5" x14ac:dyDescent="0.35"/>
  <cols>
    <col min="1" max="1" width="89.1796875" bestFit="1" customWidth="1"/>
    <col min="2" max="2" width="29.7265625" bestFit="1" customWidth="1"/>
    <col min="3" max="4" width="18.36328125" style="2" bestFit="1" customWidth="1"/>
    <col min="5" max="5" width="16.7265625" style="2" customWidth="1"/>
    <col min="6" max="6" width="8.08984375" bestFit="1" customWidth="1"/>
    <col min="7" max="7" width="13.08984375" customWidth="1"/>
    <col min="8" max="8" width="6.7265625" bestFit="1" customWidth="1"/>
    <col min="9" max="9" width="10.26953125" bestFit="1" customWidth="1"/>
    <col min="12" max="12" width="17.36328125" customWidth="1"/>
    <col min="13" max="13" width="9.36328125" bestFit="1" customWidth="1"/>
    <col min="14" max="14" width="15.36328125" customWidth="1"/>
  </cols>
  <sheetData>
    <row r="1" spans="1:15" s="3" customFormat="1" ht="30" customHeight="1" x14ac:dyDescent="0.35">
      <c r="A1" s="4" t="s">
        <v>0</v>
      </c>
      <c r="B1" s="4" t="s">
        <v>123</v>
      </c>
      <c r="C1" s="5" t="s">
        <v>1</v>
      </c>
      <c r="D1" s="5" t="s">
        <v>2</v>
      </c>
      <c r="E1" s="9" t="s">
        <v>114</v>
      </c>
      <c r="F1" s="4" t="s">
        <v>140</v>
      </c>
      <c r="G1" s="13" t="s">
        <v>116</v>
      </c>
      <c r="H1" s="4" t="s">
        <v>3</v>
      </c>
      <c r="I1" s="4" t="s">
        <v>113</v>
      </c>
      <c r="J1" s="13" t="s">
        <v>115</v>
      </c>
      <c r="K1" s="18"/>
      <c r="M1" s="10"/>
      <c r="N1" s="10"/>
      <c r="O1" s="10"/>
    </row>
    <row r="2" spans="1:15" ht="29" x14ac:dyDescent="0.35">
      <c r="A2" s="6" t="s">
        <v>52</v>
      </c>
      <c r="B2" s="6" t="s">
        <v>136</v>
      </c>
      <c r="C2" s="7">
        <v>199</v>
      </c>
      <c r="D2" s="7">
        <v>504</v>
      </c>
      <c r="E2" s="7">
        <f t="shared" ref="E2:E33" si="0">D2-C2</f>
        <v>305</v>
      </c>
      <c r="F2" s="8">
        <v>0.61</v>
      </c>
      <c r="G2" s="8" t="str">
        <f t="shared" ref="G2:G33" si="1">_xlfn.IFS(F2&lt;20%,"Low Discount",F2&lt;=40%,"Medium Discount",F2&gt;40%,"High Discount")</f>
        <v>High Discount</v>
      </c>
      <c r="H2" s="6"/>
      <c r="I2" s="6"/>
      <c r="J2" s="6" t="str">
        <f>_xlfn.IFS(I2="","No rating",I2&lt;3,"Poor",I2&lt;=4.4,"Average",I2&gt;=4.5,"Excellent")</f>
        <v>No rating</v>
      </c>
      <c r="K2" s="19"/>
      <c r="L2" s="10" t="s">
        <v>117</v>
      </c>
      <c r="M2" s="11">
        <f>AVERAGE(C2:C113)</f>
        <v>1188.5</v>
      </c>
    </row>
    <row r="3" spans="1:15" x14ac:dyDescent="0.35">
      <c r="A3" s="6" t="s">
        <v>58</v>
      </c>
      <c r="B3" s="6" t="s">
        <v>126</v>
      </c>
      <c r="C3" s="7">
        <v>499</v>
      </c>
      <c r="D3" s="7">
        <v>900</v>
      </c>
      <c r="E3" s="7">
        <f t="shared" si="0"/>
        <v>401</v>
      </c>
      <c r="F3" s="8">
        <v>0.45</v>
      </c>
      <c r="G3" s="8" t="str">
        <f t="shared" si="1"/>
        <v>High Discount</v>
      </c>
      <c r="H3" s="6"/>
      <c r="I3" s="6"/>
      <c r="J3" s="6" t="str">
        <f t="shared" ref="J3:J66" si="2">_xlfn.IFS(I3="","No rating",I3&lt;3,"Poor",I3&lt;=4.4,"Average",I3&gt;=4.5,"Excellent")</f>
        <v>No rating</v>
      </c>
      <c r="K3" s="19"/>
      <c r="L3" s="10" t="s">
        <v>118</v>
      </c>
      <c r="M3" s="11">
        <f>AVERAGE(D2:D113)</f>
        <v>1815.5714285714287</v>
      </c>
    </row>
    <row r="4" spans="1:15" ht="29" x14ac:dyDescent="0.35">
      <c r="A4" s="6" t="s">
        <v>60</v>
      </c>
      <c r="B4" s="6" t="s">
        <v>125</v>
      </c>
      <c r="C4" s="7">
        <v>799</v>
      </c>
      <c r="D4" s="7">
        <v>1567</v>
      </c>
      <c r="E4" s="7">
        <f t="shared" si="0"/>
        <v>768</v>
      </c>
      <c r="F4" s="8">
        <v>0.49</v>
      </c>
      <c r="G4" s="8" t="str">
        <f t="shared" si="1"/>
        <v>High Discount</v>
      </c>
      <c r="H4" s="6"/>
      <c r="I4" s="6"/>
      <c r="J4" s="6" t="str">
        <f t="shared" si="2"/>
        <v>No rating</v>
      </c>
      <c r="K4" s="19"/>
      <c r="L4" s="10" t="s">
        <v>119</v>
      </c>
      <c r="M4" s="1">
        <f>AVERAGE(F2:F113)</f>
        <v>0.36776785714285731</v>
      </c>
    </row>
    <row r="5" spans="1:15" x14ac:dyDescent="0.35">
      <c r="A5" s="6" t="s">
        <v>58</v>
      </c>
      <c r="B5" s="6" t="s">
        <v>126</v>
      </c>
      <c r="C5" s="7">
        <v>399</v>
      </c>
      <c r="D5" s="7">
        <v>896</v>
      </c>
      <c r="E5" s="7">
        <f t="shared" si="0"/>
        <v>497</v>
      </c>
      <c r="F5" s="8">
        <v>0.55000000000000004</v>
      </c>
      <c r="G5" s="8" t="str">
        <f t="shared" si="1"/>
        <v>High Discount</v>
      </c>
      <c r="H5" s="6"/>
      <c r="I5" s="6"/>
      <c r="J5" s="6" t="str">
        <f t="shared" si="2"/>
        <v>No rating</v>
      </c>
      <c r="K5" s="19"/>
      <c r="L5" s="10" t="s">
        <v>120</v>
      </c>
      <c r="M5" s="12">
        <f>AVERAGE(I2:I113)</f>
        <v>3.7508474576271165</v>
      </c>
    </row>
    <row r="6" spans="1:15" ht="29" x14ac:dyDescent="0.35">
      <c r="A6" s="6" t="s">
        <v>52</v>
      </c>
      <c r="B6" s="6" t="s">
        <v>136</v>
      </c>
      <c r="C6" s="7">
        <v>176</v>
      </c>
      <c r="D6" s="7">
        <v>345</v>
      </c>
      <c r="E6" s="7">
        <f t="shared" si="0"/>
        <v>169</v>
      </c>
      <c r="F6" s="8">
        <v>0.49</v>
      </c>
      <c r="G6" s="8" t="str">
        <f t="shared" si="1"/>
        <v>High Discount</v>
      </c>
      <c r="H6" s="6"/>
      <c r="I6" s="6"/>
      <c r="J6" s="6" t="str">
        <f t="shared" si="2"/>
        <v>No rating</v>
      </c>
      <c r="K6" s="19"/>
      <c r="L6" s="10" t="s">
        <v>121</v>
      </c>
      <c r="M6" s="11" t="str">
        <f>INDEX(A2:A113,MATCH(MAX(C2:C113),C2:C113,0))</f>
        <v>32PCS Portable Cordless Drill Set With Cyclic Battery Drive -26 Variable Speed</v>
      </c>
    </row>
    <row r="7" spans="1:15" ht="29" x14ac:dyDescent="0.35">
      <c r="A7" s="6" t="s">
        <v>25</v>
      </c>
      <c r="B7" s="6" t="s">
        <v>124</v>
      </c>
      <c r="C7" s="7">
        <v>1860</v>
      </c>
      <c r="D7" s="7">
        <v>3220</v>
      </c>
      <c r="E7" s="7">
        <f t="shared" si="0"/>
        <v>1360</v>
      </c>
      <c r="F7" s="8">
        <v>0.42</v>
      </c>
      <c r="G7" s="8" t="str">
        <f t="shared" si="1"/>
        <v>High Discount</v>
      </c>
      <c r="H7" s="6"/>
      <c r="I7" s="6"/>
      <c r="J7" s="6" t="str">
        <f t="shared" si="2"/>
        <v>No rating</v>
      </c>
      <c r="K7" s="19"/>
      <c r="L7" s="10" t="s">
        <v>157</v>
      </c>
      <c r="M7" t="str">
        <f>INDEX(A3:A114,MATCH(MIN(C3:C114),C3:C114,0))</f>
        <v>3PCS Single Head Knitting Crochet Sweater Needle Set</v>
      </c>
    </row>
    <row r="8" spans="1:15" x14ac:dyDescent="0.35">
      <c r="A8" s="6" t="s">
        <v>33</v>
      </c>
      <c r="B8" s="6" t="s">
        <v>133</v>
      </c>
      <c r="C8" s="7">
        <v>2200</v>
      </c>
      <c r="D8" s="7">
        <v>4080</v>
      </c>
      <c r="E8" s="7">
        <f t="shared" si="0"/>
        <v>1880</v>
      </c>
      <c r="F8" s="8">
        <v>0.46</v>
      </c>
      <c r="G8" s="8" t="str">
        <f t="shared" si="1"/>
        <v>High Discount</v>
      </c>
      <c r="H8" s="6"/>
      <c r="I8" s="6"/>
      <c r="J8" s="6" t="str">
        <f t="shared" si="2"/>
        <v>No rating</v>
      </c>
      <c r="K8" s="19"/>
    </row>
    <row r="9" spans="1:15" x14ac:dyDescent="0.35">
      <c r="A9" s="6" t="s">
        <v>43</v>
      </c>
      <c r="B9" s="6" t="s">
        <v>131</v>
      </c>
      <c r="C9" s="7">
        <v>2750</v>
      </c>
      <c r="D9" s="7">
        <v>4471</v>
      </c>
      <c r="E9" s="7">
        <f t="shared" si="0"/>
        <v>1721</v>
      </c>
      <c r="F9" s="8">
        <v>0.38</v>
      </c>
      <c r="G9" s="8" t="str">
        <f t="shared" si="1"/>
        <v>Medium Discount</v>
      </c>
      <c r="H9" s="6"/>
      <c r="I9" s="6"/>
      <c r="J9" s="6" t="str">
        <f t="shared" si="2"/>
        <v>No rating</v>
      </c>
      <c r="K9" s="19"/>
    </row>
    <row r="10" spans="1:15" x14ac:dyDescent="0.35">
      <c r="A10" s="6" t="s">
        <v>44</v>
      </c>
      <c r="B10" s="6" t="s">
        <v>128</v>
      </c>
      <c r="C10" s="7">
        <v>475</v>
      </c>
      <c r="D10" s="7">
        <v>931</v>
      </c>
      <c r="E10" s="7">
        <f t="shared" si="0"/>
        <v>456</v>
      </c>
      <c r="F10" s="8">
        <v>0.49</v>
      </c>
      <c r="G10" s="8" t="str">
        <f t="shared" si="1"/>
        <v>High Discount</v>
      </c>
      <c r="H10" s="6"/>
      <c r="I10" s="6"/>
      <c r="J10" s="6" t="str">
        <f t="shared" si="2"/>
        <v>No rating</v>
      </c>
      <c r="K10" s="19"/>
    </row>
    <row r="11" spans="1:15" x14ac:dyDescent="0.35">
      <c r="A11" s="6" t="s">
        <v>45</v>
      </c>
      <c r="B11" s="6" t="s">
        <v>126</v>
      </c>
      <c r="C11" s="7">
        <v>238</v>
      </c>
      <c r="D11" s="7">
        <v>476</v>
      </c>
      <c r="E11" s="7">
        <f t="shared" si="0"/>
        <v>238</v>
      </c>
      <c r="F11" s="8">
        <v>0.5</v>
      </c>
      <c r="G11" s="8" t="str">
        <f t="shared" si="1"/>
        <v>High Discount</v>
      </c>
      <c r="H11" s="6"/>
      <c r="I11" s="6"/>
      <c r="J11" s="6" t="str">
        <f t="shared" si="2"/>
        <v>No rating</v>
      </c>
      <c r="K11" s="19"/>
    </row>
    <row r="12" spans="1:15" x14ac:dyDescent="0.35">
      <c r="A12" s="6" t="s">
        <v>46</v>
      </c>
      <c r="B12" s="6" t="s">
        <v>128</v>
      </c>
      <c r="C12" s="7">
        <v>610</v>
      </c>
      <c r="D12" s="7">
        <v>1060</v>
      </c>
      <c r="E12" s="7">
        <f t="shared" si="0"/>
        <v>450</v>
      </c>
      <c r="F12" s="8">
        <v>0.42</v>
      </c>
      <c r="G12" s="8" t="str">
        <f t="shared" si="1"/>
        <v>High Discount</v>
      </c>
      <c r="H12" s="6"/>
      <c r="I12" s="6"/>
      <c r="J12" s="6" t="str">
        <f t="shared" si="2"/>
        <v>No rating</v>
      </c>
      <c r="K12" s="19"/>
    </row>
    <row r="13" spans="1:15" x14ac:dyDescent="0.35">
      <c r="A13" s="6" t="s">
        <v>47</v>
      </c>
      <c r="B13" s="6" t="s">
        <v>131</v>
      </c>
      <c r="C13" s="7">
        <v>2132</v>
      </c>
      <c r="D13" s="7">
        <v>2169</v>
      </c>
      <c r="E13" s="7">
        <f t="shared" si="0"/>
        <v>37</v>
      </c>
      <c r="F13" s="8">
        <v>0.02</v>
      </c>
      <c r="G13" s="8" t="str">
        <f t="shared" si="1"/>
        <v>Low Discount</v>
      </c>
      <c r="H13" s="6"/>
      <c r="I13" s="6"/>
      <c r="J13" s="6" t="str">
        <f t="shared" si="2"/>
        <v>No rating</v>
      </c>
      <c r="K13" s="19"/>
    </row>
    <row r="14" spans="1:15" x14ac:dyDescent="0.35">
      <c r="A14" s="6" t="s">
        <v>48</v>
      </c>
      <c r="B14" s="6" t="s">
        <v>126</v>
      </c>
      <c r="C14" s="7">
        <v>999</v>
      </c>
      <c r="D14" s="7">
        <v>2000</v>
      </c>
      <c r="E14" s="7">
        <f t="shared" si="0"/>
        <v>1001</v>
      </c>
      <c r="F14" s="8">
        <v>0.5</v>
      </c>
      <c r="G14" s="8" t="str">
        <f t="shared" si="1"/>
        <v>High Discount</v>
      </c>
      <c r="H14" s="6"/>
      <c r="I14" s="6"/>
      <c r="J14" s="6" t="str">
        <f t="shared" si="2"/>
        <v>No rating</v>
      </c>
      <c r="K14" s="19"/>
    </row>
    <row r="15" spans="1:15" x14ac:dyDescent="0.35">
      <c r="A15" s="6" t="s">
        <v>49</v>
      </c>
      <c r="B15" s="6" t="s">
        <v>125</v>
      </c>
      <c r="C15" s="7">
        <v>1190</v>
      </c>
      <c r="D15" s="7">
        <v>1785</v>
      </c>
      <c r="E15" s="7">
        <f t="shared" si="0"/>
        <v>595</v>
      </c>
      <c r="F15" s="8">
        <v>0.33</v>
      </c>
      <c r="G15" s="8" t="str">
        <f t="shared" si="1"/>
        <v>Medium Discount</v>
      </c>
      <c r="H15" s="6"/>
      <c r="I15" s="6"/>
      <c r="J15" s="6" t="str">
        <f t="shared" si="2"/>
        <v>No rating</v>
      </c>
      <c r="K15" s="19"/>
    </row>
    <row r="16" spans="1:15" x14ac:dyDescent="0.35">
      <c r="A16" s="6" t="s">
        <v>50</v>
      </c>
      <c r="B16" s="6" t="s">
        <v>127</v>
      </c>
      <c r="C16" s="7">
        <v>671</v>
      </c>
      <c r="D16" s="7">
        <v>1316</v>
      </c>
      <c r="E16" s="7">
        <f t="shared" si="0"/>
        <v>645</v>
      </c>
      <c r="F16" s="8">
        <v>0.49</v>
      </c>
      <c r="G16" s="8" t="str">
        <f t="shared" si="1"/>
        <v>High Discount</v>
      </c>
      <c r="H16" s="6"/>
      <c r="I16" s="6"/>
      <c r="J16" s="6" t="str">
        <f t="shared" si="2"/>
        <v>No rating</v>
      </c>
      <c r="K16" s="19"/>
    </row>
    <row r="17" spans="1:11" x14ac:dyDescent="0.35">
      <c r="A17" s="6" t="s">
        <v>51</v>
      </c>
      <c r="B17" s="6" t="s">
        <v>129</v>
      </c>
      <c r="C17" s="7">
        <v>1200</v>
      </c>
      <c r="D17" s="7">
        <v>1950</v>
      </c>
      <c r="E17" s="7">
        <f t="shared" si="0"/>
        <v>750</v>
      </c>
      <c r="F17" s="8">
        <v>0.38</v>
      </c>
      <c r="G17" s="8" t="str">
        <f t="shared" si="1"/>
        <v>Medium Discount</v>
      </c>
      <c r="H17" s="6"/>
      <c r="I17" s="6"/>
      <c r="J17" s="6" t="str">
        <f t="shared" si="2"/>
        <v>No rating</v>
      </c>
      <c r="K17" s="19"/>
    </row>
    <row r="18" spans="1:11" x14ac:dyDescent="0.35">
      <c r="A18" s="6" t="s">
        <v>53</v>
      </c>
      <c r="B18" s="6" t="s">
        <v>125</v>
      </c>
      <c r="C18" s="7">
        <v>299</v>
      </c>
      <c r="D18" s="7">
        <v>600</v>
      </c>
      <c r="E18" s="7">
        <f t="shared" si="0"/>
        <v>301</v>
      </c>
      <c r="F18" s="8">
        <v>0.5</v>
      </c>
      <c r="G18" s="8" t="str">
        <f t="shared" si="1"/>
        <v>High Discount</v>
      </c>
      <c r="H18" s="6"/>
      <c r="I18" s="6"/>
      <c r="J18" s="6" t="str">
        <f t="shared" si="2"/>
        <v>No rating</v>
      </c>
      <c r="K18" s="19"/>
    </row>
    <row r="19" spans="1:11" x14ac:dyDescent="0.35">
      <c r="A19" s="6" t="s">
        <v>54</v>
      </c>
      <c r="B19" s="6" t="s">
        <v>125</v>
      </c>
      <c r="C19" s="7">
        <v>1660</v>
      </c>
      <c r="D19" s="7">
        <v>1699</v>
      </c>
      <c r="E19" s="7">
        <f t="shared" si="0"/>
        <v>39</v>
      </c>
      <c r="F19" s="8">
        <v>0.02</v>
      </c>
      <c r="G19" s="8" t="str">
        <f t="shared" si="1"/>
        <v>Low Discount</v>
      </c>
      <c r="H19" s="6"/>
      <c r="I19" s="6"/>
      <c r="J19" s="6" t="str">
        <f t="shared" si="2"/>
        <v>No rating</v>
      </c>
      <c r="K19" s="19"/>
    </row>
    <row r="20" spans="1:11" x14ac:dyDescent="0.35">
      <c r="A20" s="6" t="s">
        <v>55</v>
      </c>
      <c r="B20" s="6" t="s">
        <v>133</v>
      </c>
      <c r="C20" s="7">
        <v>299</v>
      </c>
      <c r="D20" s="7">
        <v>384</v>
      </c>
      <c r="E20" s="7">
        <f t="shared" si="0"/>
        <v>85</v>
      </c>
      <c r="F20" s="8">
        <v>0.22</v>
      </c>
      <c r="G20" s="8" t="str">
        <f t="shared" si="1"/>
        <v>Medium Discount</v>
      </c>
      <c r="H20" s="6"/>
      <c r="I20" s="6"/>
      <c r="J20" s="6" t="str">
        <f t="shared" si="2"/>
        <v>No rating</v>
      </c>
      <c r="K20" s="19"/>
    </row>
    <row r="21" spans="1:11" x14ac:dyDescent="0.35">
      <c r="A21" s="6" t="s">
        <v>56</v>
      </c>
      <c r="B21" s="6" t="s">
        <v>124</v>
      </c>
      <c r="C21" s="7">
        <v>1459</v>
      </c>
      <c r="D21" s="7">
        <v>1499</v>
      </c>
      <c r="E21" s="7">
        <f t="shared" si="0"/>
        <v>40</v>
      </c>
      <c r="F21" s="8">
        <v>0.03</v>
      </c>
      <c r="G21" s="8" t="str">
        <f t="shared" si="1"/>
        <v>Low Discount</v>
      </c>
      <c r="H21" s="6"/>
      <c r="I21" s="6"/>
      <c r="J21" s="6" t="str">
        <f t="shared" si="2"/>
        <v>No rating</v>
      </c>
      <c r="K21" s="19"/>
    </row>
    <row r="22" spans="1:11" x14ac:dyDescent="0.35">
      <c r="A22" s="6" t="s">
        <v>57</v>
      </c>
      <c r="B22" s="6" t="s">
        <v>126</v>
      </c>
      <c r="C22" s="7">
        <v>799</v>
      </c>
      <c r="D22" s="7">
        <v>1343</v>
      </c>
      <c r="E22" s="7">
        <f t="shared" si="0"/>
        <v>544</v>
      </c>
      <c r="F22" s="8">
        <v>0.41</v>
      </c>
      <c r="G22" s="8" t="str">
        <f t="shared" si="1"/>
        <v>High Discount</v>
      </c>
      <c r="H22" s="6"/>
      <c r="I22" s="6"/>
      <c r="J22" s="6" t="str">
        <f t="shared" si="2"/>
        <v>No rating</v>
      </c>
      <c r="K22" s="19"/>
    </row>
    <row r="23" spans="1:11" x14ac:dyDescent="0.35">
      <c r="A23" s="6" t="s">
        <v>59</v>
      </c>
      <c r="B23" s="6" t="s">
        <v>126</v>
      </c>
      <c r="C23" s="7">
        <v>699</v>
      </c>
      <c r="D23" s="7">
        <v>1343</v>
      </c>
      <c r="E23" s="7">
        <f t="shared" si="0"/>
        <v>644</v>
      </c>
      <c r="F23" s="8">
        <v>0.48</v>
      </c>
      <c r="G23" s="8" t="str">
        <f t="shared" si="1"/>
        <v>High Discount</v>
      </c>
      <c r="H23" s="6"/>
      <c r="I23" s="6"/>
      <c r="J23" s="6" t="str">
        <f t="shared" si="2"/>
        <v>No rating</v>
      </c>
      <c r="K23" s="19"/>
    </row>
    <row r="24" spans="1:11" x14ac:dyDescent="0.35">
      <c r="A24" s="6" t="s">
        <v>61</v>
      </c>
      <c r="B24" s="6" t="s">
        <v>125</v>
      </c>
      <c r="C24" s="7">
        <v>2799</v>
      </c>
      <c r="D24" s="7">
        <v>3810</v>
      </c>
      <c r="E24" s="7">
        <f t="shared" si="0"/>
        <v>1011</v>
      </c>
      <c r="F24" s="8">
        <v>0.27</v>
      </c>
      <c r="G24" s="8" t="str">
        <f t="shared" si="1"/>
        <v>Medium Discount</v>
      </c>
      <c r="H24" s="6"/>
      <c r="I24" s="6"/>
      <c r="J24" s="6" t="str">
        <f t="shared" si="2"/>
        <v>No rating</v>
      </c>
      <c r="K24" s="19"/>
    </row>
    <row r="25" spans="1:11" x14ac:dyDescent="0.35">
      <c r="A25" s="6" t="s">
        <v>78</v>
      </c>
      <c r="B25" s="6" t="s">
        <v>124</v>
      </c>
      <c r="C25" s="7">
        <v>690</v>
      </c>
      <c r="D25" s="7">
        <v>1200</v>
      </c>
      <c r="E25" s="7">
        <f t="shared" si="0"/>
        <v>510</v>
      </c>
      <c r="F25" s="8">
        <v>0.43</v>
      </c>
      <c r="G25" s="8" t="str">
        <f t="shared" si="1"/>
        <v>High Discount</v>
      </c>
      <c r="H25" s="6"/>
      <c r="I25" s="6"/>
      <c r="J25" s="6" t="str">
        <f t="shared" si="2"/>
        <v>No rating</v>
      </c>
      <c r="K25" s="19"/>
    </row>
    <row r="26" spans="1:11" x14ac:dyDescent="0.35">
      <c r="A26" s="6" t="s">
        <v>79</v>
      </c>
      <c r="B26" s="6" t="s">
        <v>128</v>
      </c>
      <c r="C26" s="7">
        <v>1732</v>
      </c>
      <c r="D26" s="7">
        <v>1799</v>
      </c>
      <c r="E26" s="7">
        <f t="shared" si="0"/>
        <v>67</v>
      </c>
      <c r="F26" s="8">
        <v>0.04</v>
      </c>
      <c r="G26" s="8" t="str">
        <f t="shared" si="1"/>
        <v>Low Discount</v>
      </c>
      <c r="H26" s="6"/>
      <c r="I26" s="6"/>
      <c r="J26" s="6" t="str">
        <f t="shared" si="2"/>
        <v>No rating</v>
      </c>
      <c r="K26" s="19"/>
    </row>
    <row r="27" spans="1:11" x14ac:dyDescent="0.35">
      <c r="A27" s="6" t="s">
        <v>80</v>
      </c>
      <c r="B27" s="6" t="s">
        <v>130</v>
      </c>
      <c r="C27" s="7">
        <v>230</v>
      </c>
      <c r="D27" s="7">
        <v>450</v>
      </c>
      <c r="E27" s="7">
        <f t="shared" si="0"/>
        <v>220</v>
      </c>
      <c r="F27" s="8">
        <v>0.49</v>
      </c>
      <c r="G27" s="8" t="str">
        <f t="shared" si="1"/>
        <v>High Discount</v>
      </c>
      <c r="H27" s="6"/>
      <c r="I27" s="6"/>
      <c r="J27" s="6" t="str">
        <f t="shared" si="2"/>
        <v>No rating</v>
      </c>
      <c r="K27" s="19"/>
    </row>
    <row r="28" spans="1:11" x14ac:dyDescent="0.35">
      <c r="A28" s="6" t="s">
        <v>83</v>
      </c>
      <c r="B28" s="6" t="s">
        <v>126</v>
      </c>
      <c r="C28" s="7">
        <v>1460</v>
      </c>
      <c r="D28" s="7">
        <v>2290</v>
      </c>
      <c r="E28" s="7">
        <f t="shared" si="0"/>
        <v>830</v>
      </c>
      <c r="F28" s="8">
        <v>0.36</v>
      </c>
      <c r="G28" s="8" t="str">
        <f t="shared" si="1"/>
        <v>Medium Discount</v>
      </c>
      <c r="H28" s="6"/>
      <c r="I28" s="6"/>
      <c r="J28" s="6" t="str">
        <f t="shared" si="2"/>
        <v>No rating</v>
      </c>
      <c r="K28" s="19"/>
    </row>
    <row r="29" spans="1:11" x14ac:dyDescent="0.35">
      <c r="A29" s="6" t="s">
        <v>84</v>
      </c>
      <c r="B29" s="6" t="s">
        <v>134</v>
      </c>
      <c r="C29" s="7">
        <v>1666</v>
      </c>
      <c r="D29" s="7">
        <v>1699</v>
      </c>
      <c r="E29" s="7">
        <f t="shared" si="0"/>
        <v>33</v>
      </c>
      <c r="F29" s="8">
        <v>0.02</v>
      </c>
      <c r="G29" s="8" t="str">
        <f t="shared" si="1"/>
        <v>Low Discount</v>
      </c>
      <c r="H29" s="6"/>
      <c r="I29" s="6"/>
      <c r="J29" s="6" t="str">
        <f t="shared" si="2"/>
        <v>No rating</v>
      </c>
      <c r="K29" s="19"/>
    </row>
    <row r="30" spans="1:11" x14ac:dyDescent="0.35">
      <c r="A30" s="6" t="s">
        <v>86</v>
      </c>
      <c r="B30" s="6" t="s">
        <v>126</v>
      </c>
      <c r="C30" s="7">
        <v>1466</v>
      </c>
      <c r="D30" s="7">
        <v>1699</v>
      </c>
      <c r="E30" s="7">
        <f t="shared" si="0"/>
        <v>233</v>
      </c>
      <c r="F30" s="8">
        <v>0.14000000000000001</v>
      </c>
      <c r="G30" s="8" t="str">
        <f t="shared" si="1"/>
        <v>Low Discount</v>
      </c>
      <c r="H30" s="6"/>
      <c r="I30" s="6"/>
      <c r="J30" s="6" t="str">
        <f t="shared" si="2"/>
        <v>No rating</v>
      </c>
      <c r="K30" s="19"/>
    </row>
    <row r="31" spans="1:11" x14ac:dyDescent="0.35">
      <c r="A31" s="6" t="s">
        <v>87</v>
      </c>
      <c r="B31" s="6" t="s">
        <v>126</v>
      </c>
      <c r="C31" s="7">
        <v>274</v>
      </c>
      <c r="D31" s="7">
        <v>537</v>
      </c>
      <c r="E31" s="7">
        <f t="shared" si="0"/>
        <v>263</v>
      </c>
      <c r="F31" s="8">
        <v>0.49</v>
      </c>
      <c r="G31" s="8" t="str">
        <f t="shared" si="1"/>
        <v>High Discount</v>
      </c>
      <c r="H31" s="6"/>
      <c r="I31" s="6"/>
      <c r="J31" s="6" t="str">
        <f t="shared" si="2"/>
        <v>No rating</v>
      </c>
      <c r="K31" s="19"/>
    </row>
    <row r="32" spans="1:11" x14ac:dyDescent="0.35">
      <c r="A32" s="6" t="s">
        <v>88</v>
      </c>
      <c r="B32" s="6" t="s">
        <v>130</v>
      </c>
      <c r="C32" s="7">
        <v>799</v>
      </c>
      <c r="D32" s="7">
        <v>900</v>
      </c>
      <c r="E32" s="7">
        <f t="shared" si="0"/>
        <v>101</v>
      </c>
      <c r="F32" s="8">
        <v>0.11</v>
      </c>
      <c r="G32" s="8" t="str">
        <f t="shared" si="1"/>
        <v>Low Discount</v>
      </c>
      <c r="H32" s="6"/>
      <c r="I32" s="6"/>
      <c r="J32" s="6" t="str">
        <f t="shared" si="2"/>
        <v>No rating</v>
      </c>
      <c r="K32" s="19"/>
    </row>
    <row r="33" spans="1:11" x14ac:dyDescent="0.35">
      <c r="A33" s="6" t="s">
        <v>89</v>
      </c>
      <c r="B33" s="6" t="s">
        <v>131</v>
      </c>
      <c r="C33" s="7">
        <v>1468</v>
      </c>
      <c r="D33" s="7">
        <v>1699</v>
      </c>
      <c r="E33" s="7">
        <f t="shared" si="0"/>
        <v>231</v>
      </c>
      <c r="F33" s="8">
        <v>0.14000000000000001</v>
      </c>
      <c r="G33" s="8" t="str">
        <f t="shared" si="1"/>
        <v>Low Discount</v>
      </c>
      <c r="H33" s="6"/>
      <c r="I33" s="6"/>
      <c r="J33" s="6" t="str">
        <f t="shared" si="2"/>
        <v>No rating</v>
      </c>
      <c r="K33" s="19"/>
    </row>
    <row r="34" spans="1:11" x14ac:dyDescent="0.35">
      <c r="A34" s="6" t="s">
        <v>90</v>
      </c>
      <c r="B34" s="6" t="s">
        <v>133</v>
      </c>
      <c r="C34" s="7">
        <v>630</v>
      </c>
      <c r="D34" s="7">
        <v>1100</v>
      </c>
      <c r="E34" s="7">
        <f t="shared" ref="E34:E65" si="3">D34-C34</f>
        <v>470</v>
      </c>
      <c r="F34" s="8">
        <v>0.43</v>
      </c>
      <c r="G34" s="8" t="str">
        <f t="shared" ref="G34:G65" si="4">_xlfn.IFS(F34&lt;20%,"Low Discount",F34&lt;=40%,"Medium Discount",F34&gt;40%,"High Discount")</f>
        <v>High Discount</v>
      </c>
      <c r="H34" s="6"/>
      <c r="I34" s="6"/>
      <c r="J34" s="6" t="str">
        <f t="shared" si="2"/>
        <v>No rating</v>
      </c>
      <c r="K34" s="19"/>
    </row>
    <row r="35" spans="1:11" x14ac:dyDescent="0.35">
      <c r="A35" s="6" t="s">
        <v>91</v>
      </c>
      <c r="B35" s="6" t="s">
        <v>126</v>
      </c>
      <c r="C35" s="7">
        <v>850</v>
      </c>
      <c r="D35" s="7">
        <v>1700</v>
      </c>
      <c r="E35" s="7">
        <f t="shared" si="3"/>
        <v>850</v>
      </c>
      <c r="F35" s="8">
        <v>0.5</v>
      </c>
      <c r="G35" s="8" t="str">
        <f t="shared" si="4"/>
        <v>High Discount</v>
      </c>
      <c r="H35" s="6"/>
      <c r="I35" s="6"/>
      <c r="J35" s="6" t="str">
        <f t="shared" si="2"/>
        <v>No rating</v>
      </c>
      <c r="K35" s="19"/>
    </row>
    <row r="36" spans="1:11" x14ac:dyDescent="0.35">
      <c r="A36" s="6" t="s">
        <v>92</v>
      </c>
      <c r="B36" s="6" t="s">
        <v>130</v>
      </c>
      <c r="C36" s="7">
        <v>1300</v>
      </c>
      <c r="D36" s="7">
        <v>2500</v>
      </c>
      <c r="E36" s="7">
        <f t="shared" si="3"/>
        <v>1200</v>
      </c>
      <c r="F36" s="8">
        <v>0.48</v>
      </c>
      <c r="G36" s="8" t="str">
        <f t="shared" si="4"/>
        <v>High Discount</v>
      </c>
      <c r="H36" s="6"/>
      <c r="I36" s="6"/>
      <c r="J36" s="6" t="str">
        <f t="shared" si="2"/>
        <v>No rating</v>
      </c>
      <c r="K36" s="19"/>
    </row>
    <row r="37" spans="1:11" x14ac:dyDescent="0.35">
      <c r="A37" s="6" t="s">
        <v>93</v>
      </c>
      <c r="B37" s="6" t="s">
        <v>125</v>
      </c>
      <c r="C37" s="7">
        <v>105</v>
      </c>
      <c r="D37" s="7">
        <v>200</v>
      </c>
      <c r="E37" s="7">
        <f t="shared" si="3"/>
        <v>95</v>
      </c>
      <c r="F37" s="8">
        <v>0.48</v>
      </c>
      <c r="G37" s="8" t="str">
        <f t="shared" si="4"/>
        <v>High Discount</v>
      </c>
      <c r="H37" s="6"/>
      <c r="I37" s="6"/>
      <c r="J37" s="6" t="str">
        <f t="shared" si="2"/>
        <v>No rating</v>
      </c>
      <c r="K37" s="19"/>
    </row>
    <row r="38" spans="1:11" x14ac:dyDescent="0.35">
      <c r="A38" s="6" t="s">
        <v>94</v>
      </c>
      <c r="B38" s="6" t="s">
        <v>133</v>
      </c>
      <c r="C38" s="7">
        <v>899</v>
      </c>
      <c r="D38" s="7">
        <v>1699</v>
      </c>
      <c r="E38" s="7">
        <f t="shared" si="3"/>
        <v>800</v>
      </c>
      <c r="F38" s="8">
        <v>0.47</v>
      </c>
      <c r="G38" s="8" t="str">
        <f t="shared" si="4"/>
        <v>High Discount</v>
      </c>
      <c r="H38" s="6"/>
      <c r="I38" s="6"/>
      <c r="J38" s="6" t="str">
        <f t="shared" si="2"/>
        <v>No rating</v>
      </c>
      <c r="K38" s="19"/>
    </row>
    <row r="39" spans="1:11" x14ac:dyDescent="0.35">
      <c r="A39" s="6" t="s">
        <v>95</v>
      </c>
      <c r="B39" s="6" t="s">
        <v>126</v>
      </c>
      <c r="C39" s="7">
        <v>1200</v>
      </c>
      <c r="D39" s="7">
        <v>2400</v>
      </c>
      <c r="E39" s="7">
        <f t="shared" si="3"/>
        <v>1200</v>
      </c>
      <c r="F39" s="8">
        <v>0.5</v>
      </c>
      <c r="G39" s="8" t="str">
        <f t="shared" si="4"/>
        <v>High Discount</v>
      </c>
      <c r="H39" s="6"/>
      <c r="I39" s="6"/>
      <c r="J39" s="6" t="str">
        <f t="shared" si="2"/>
        <v>No rating</v>
      </c>
      <c r="K39" s="19"/>
    </row>
    <row r="40" spans="1:11" x14ac:dyDescent="0.35">
      <c r="A40" s="6" t="s">
        <v>96</v>
      </c>
      <c r="B40" s="6" t="s">
        <v>131</v>
      </c>
      <c r="C40" s="7">
        <v>1526</v>
      </c>
      <c r="D40" s="7">
        <v>1660</v>
      </c>
      <c r="E40" s="7">
        <f t="shared" si="3"/>
        <v>134</v>
      </c>
      <c r="F40" s="8">
        <v>0.08</v>
      </c>
      <c r="G40" s="8" t="str">
        <f t="shared" si="4"/>
        <v>Low Discount</v>
      </c>
      <c r="H40" s="6"/>
      <c r="I40" s="6"/>
      <c r="J40" s="6" t="str">
        <f t="shared" si="2"/>
        <v>No rating</v>
      </c>
      <c r="K40" s="19"/>
    </row>
    <row r="41" spans="1:11" x14ac:dyDescent="0.35">
      <c r="A41" s="6" t="s">
        <v>97</v>
      </c>
      <c r="B41" s="6" t="s">
        <v>125</v>
      </c>
      <c r="C41" s="7">
        <v>1462</v>
      </c>
      <c r="D41" s="7">
        <v>1499</v>
      </c>
      <c r="E41" s="7">
        <f t="shared" si="3"/>
        <v>37</v>
      </c>
      <c r="F41" s="8">
        <v>0.02</v>
      </c>
      <c r="G41" s="8" t="str">
        <f t="shared" si="4"/>
        <v>Low Discount</v>
      </c>
      <c r="H41" s="6"/>
      <c r="I41" s="6"/>
      <c r="J41" s="6" t="str">
        <f t="shared" si="2"/>
        <v>No rating</v>
      </c>
      <c r="K41" s="19"/>
    </row>
    <row r="42" spans="1:11" x14ac:dyDescent="0.35">
      <c r="A42" s="6" t="s">
        <v>98</v>
      </c>
      <c r="B42" s="6" t="s">
        <v>124</v>
      </c>
      <c r="C42" s="7">
        <v>248</v>
      </c>
      <c r="D42" s="7">
        <v>486</v>
      </c>
      <c r="E42" s="7">
        <f t="shared" si="3"/>
        <v>238</v>
      </c>
      <c r="F42" s="8">
        <v>0.49</v>
      </c>
      <c r="G42" s="8" t="str">
        <f t="shared" si="4"/>
        <v>High Discount</v>
      </c>
      <c r="H42" s="6"/>
      <c r="I42" s="6"/>
      <c r="J42" s="6" t="str">
        <f t="shared" si="2"/>
        <v>No rating</v>
      </c>
      <c r="K42" s="19"/>
    </row>
    <row r="43" spans="1:11" x14ac:dyDescent="0.35">
      <c r="A43" s="6" t="s">
        <v>99</v>
      </c>
      <c r="B43" s="6" t="s">
        <v>126</v>
      </c>
      <c r="C43" s="7">
        <v>3546</v>
      </c>
      <c r="D43" s="7">
        <v>3699</v>
      </c>
      <c r="E43" s="7">
        <f t="shared" si="3"/>
        <v>153</v>
      </c>
      <c r="F43" s="8">
        <v>0.04</v>
      </c>
      <c r="G43" s="8" t="str">
        <f t="shared" si="4"/>
        <v>Low Discount</v>
      </c>
      <c r="H43" s="6"/>
      <c r="I43" s="6"/>
      <c r="J43" s="6" t="str">
        <f t="shared" si="2"/>
        <v>No rating</v>
      </c>
      <c r="K43" s="19"/>
    </row>
    <row r="44" spans="1:11" x14ac:dyDescent="0.35">
      <c r="A44" s="6" t="s">
        <v>100</v>
      </c>
      <c r="B44" s="6" t="s">
        <v>135</v>
      </c>
      <c r="C44" s="7">
        <v>525</v>
      </c>
      <c r="D44" s="7">
        <v>1029</v>
      </c>
      <c r="E44" s="7">
        <f t="shared" si="3"/>
        <v>504</v>
      </c>
      <c r="F44" s="8">
        <v>0.49</v>
      </c>
      <c r="G44" s="8" t="str">
        <f t="shared" si="4"/>
        <v>High Discount</v>
      </c>
      <c r="H44" s="6"/>
      <c r="I44" s="6"/>
      <c r="J44" s="6" t="str">
        <f t="shared" si="2"/>
        <v>No rating</v>
      </c>
      <c r="K44" s="19"/>
    </row>
    <row r="45" spans="1:11" x14ac:dyDescent="0.35">
      <c r="A45" s="6" t="s">
        <v>101</v>
      </c>
      <c r="B45" s="6" t="s">
        <v>125</v>
      </c>
      <c r="C45" s="7">
        <v>1080</v>
      </c>
      <c r="D45" s="7">
        <v>1874</v>
      </c>
      <c r="E45" s="7">
        <f t="shared" si="3"/>
        <v>794</v>
      </c>
      <c r="F45" s="8">
        <v>0.42</v>
      </c>
      <c r="G45" s="8" t="str">
        <f t="shared" si="4"/>
        <v>High Discount</v>
      </c>
      <c r="H45" s="6"/>
      <c r="I45" s="6"/>
      <c r="J45" s="6" t="str">
        <f t="shared" si="2"/>
        <v>No rating</v>
      </c>
      <c r="K45" s="19"/>
    </row>
    <row r="46" spans="1:11" x14ac:dyDescent="0.35">
      <c r="A46" s="6" t="s">
        <v>103</v>
      </c>
      <c r="B46" s="6" t="s">
        <v>134</v>
      </c>
      <c r="C46" s="7">
        <v>1420</v>
      </c>
      <c r="D46" s="7">
        <v>2420</v>
      </c>
      <c r="E46" s="7">
        <f t="shared" si="3"/>
        <v>1000</v>
      </c>
      <c r="F46" s="8">
        <v>0.41</v>
      </c>
      <c r="G46" s="8" t="str">
        <f t="shared" si="4"/>
        <v>High Discount</v>
      </c>
      <c r="H46" s="6"/>
      <c r="I46" s="6"/>
      <c r="J46" s="6" t="str">
        <f t="shared" si="2"/>
        <v>No rating</v>
      </c>
      <c r="K46" s="19"/>
    </row>
    <row r="47" spans="1:11" x14ac:dyDescent="0.35">
      <c r="A47" s="6" t="s">
        <v>104</v>
      </c>
      <c r="B47" s="6" t="s">
        <v>133</v>
      </c>
      <c r="C47" s="7">
        <v>1875</v>
      </c>
      <c r="D47" s="7">
        <v>1899</v>
      </c>
      <c r="E47" s="7">
        <f t="shared" si="3"/>
        <v>24</v>
      </c>
      <c r="F47" s="8">
        <v>0.01</v>
      </c>
      <c r="G47" s="8" t="str">
        <f t="shared" si="4"/>
        <v>Low Discount</v>
      </c>
      <c r="H47" s="6"/>
      <c r="I47" s="6"/>
      <c r="J47" s="6" t="str">
        <f t="shared" si="2"/>
        <v>No rating</v>
      </c>
      <c r="K47" s="19"/>
    </row>
    <row r="48" spans="1:11" x14ac:dyDescent="0.35">
      <c r="A48" s="6" t="s">
        <v>105</v>
      </c>
      <c r="B48" s="6" t="s">
        <v>133</v>
      </c>
      <c r="C48" s="7">
        <v>198</v>
      </c>
      <c r="D48" s="7">
        <v>260</v>
      </c>
      <c r="E48" s="7">
        <f t="shared" si="3"/>
        <v>62</v>
      </c>
      <c r="F48" s="8">
        <v>0.24</v>
      </c>
      <c r="G48" s="8" t="str">
        <f t="shared" si="4"/>
        <v>Medium Discount</v>
      </c>
      <c r="H48" s="6"/>
      <c r="I48" s="6"/>
      <c r="J48" s="6" t="str">
        <f t="shared" si="2"/>
        <v>No rating</v>
      </c>
      <c r="K48" s="19"/>
    </row>
    <row r="49" spans="1:13" x14ac:dyDescent="0.35">
      <c r="A49" s="6" t="s">
        <v>106</v>
      </c>
      <c r="B49" s="6" t="s">
        <v>129</v>
      </c>
      <c r="C49" s="7">
        <v>1150</v>
      </c>
      <c r="D49" s="7">
        <v>1737</v>
      </c>
      <c r="E49" s="7">
        <f t="shared" si="3"/>
        <v>587</v>
      </c>
      <c r="F49" s="8">
        <v>0.34</v>
      </c>
      <c r="G49" s="8" t="str">
        <f t="shared" si="4"/>
        <v>Medium Discount</v>
      </c>
      <c r="H49" s="6"/>
      <c r="I49" s="6"/>
      <c r="J49" s="6" t="str">
        <f t="shared" si="2"/>
        <v>No rating</v>
      </c>
      <c r="K49" s="19"/>
    </row>
    <row r="50" spans="1:13" x14ac:dyDescent="0.35">
      <c r="A50" s="6" t="s">
        <v>107</v>
      </c>
      <c r="B50" s="6" t="s">
        <v>130</v>
      </c>
      <c r="C50" s="7">
        <v>1190</v>
      </c>
      <c r="D50" s="7">
        <v>1810</v>
      </c>
      <c r="E50" s="7">
        <f t="shared" si="3"/>
        <v>620</v>
      </c>
      <c r="F50" s="8">
        <v>0.34</v>
      </c>
      <c r="G50" s="8" t="str">
        <f t="shared" si="4"/>
        <v>Medium Discount</v>
      </c>
      <c r="H50" s="6"/>
      <c r="I50" s="6"/>
      <c r="J50" s="6" t="str">
        <f t="shared" si="2"/>
        <v>No rating</v>
      </c>
      <c r="K50" s="19"/>
    </row>
    <row r="51" spans="1:13" x14ac:dyDescent="0.35">
      <c r="A51" s="6" t="s">
        <v>108</v>
      </c>
      <c r="B51" s="6" t="s">
        <v>128</v>
      </c>
      <c r="C51" s="7">
        <v>1658</v>
      </c>
      <c r="D51" s="7">
        <v>1699</v>
      </c>
      <c r="E51" s="7">
        <f t="shared" si="3"/>
        <v>41</v>
      </c>
      <c r="F51" s="8">
        <v>0.02</v>
      </c>
      <c r="G51" s="8" t="str">
        <f t="shared" si="4"/>
        <v>Low Discount</v>
      </c>
      <c r="H51" s="6"/>
      <c r="I51" s="6"/>
      <c r="J51" s="6" t="str">
        <f t="shared" si="2"/>
        <v>No rating</v>
      </c>
      <c r="K51" s="19"/>
    </row>
    <row r="52" spans="1:13" x14ac:dyDescent="0.35">
      <c r="A52" s="6" t="s">
        <v>109</v>
      </c>
      <c r="B52" s="6" t="s">
        <v>128</v>
      </c>
      <c r="C52" s="7">
        <v>1768</v>
      </c>
      <c r="D52" s="7">
        <v>1799</v>
      </c>
      <c r="E52" s="7">
        <f t="shared" si="3"/>
        <v>31</v>
      </c>
      <c r="F52" s="8">
        <v>0.02</v>
      </c>
      <c r="G52" s="8" t="str">
        <f t="shared" si="4"/>
        <v>Low Discount</v>
      </c>
      <c r="H52" s="6"/>
      <c r="I52" s="6"/>
      <c r="J52" s="6" t="str">
        <f t="shared" si="2"/>
        <v>No rating</v>
      </c>
      <c r="K52" s="19"/>
    </row>
    <row r="53" spans="1:13" x14ac:dyDescent="0.35">
      <c r="A53" s="6" t="s">
        <v>110</v>
      </c>
      <c r="B53" s="6" t="s">
        <v>124</v>
      </c>
      <c r="C53" s="7">
        <v>199</v>
      </c>
      <c r="D53" s="7">
        <v>553</v>
      </c>
      <c r="E53" s="7">
        <f t="shared" si="3"/>
        <v>354</v>
      </c>
      <c r="F53" s="8">
        <v>0.64</v>
      </c>
      <c r="G53" s="8" t="str">
        <f t="shared" si="4"/>
        <v>High Discount</v>
      </c>
      <c r="H53" s="6"/>
      <c r="I53" s="6"/>
      <c r="J53" s="6" t="str">
        <f t="shared" si="2"/>
        <v>No rating</v>
      </c>
      <c r="K53" s="19"/>
    </row>
    <row r="54" spans="1:13" x14ac:dyDescent="0.35">
      <c r="A54" s="6" t="s">
        <v>112</v>
      </c>
      <c r="B54" s="6" t="s">
        <v>128</v>
      </c>
      <c r="C54" s="7">
        <v>169</v>
      </c>
      <c r="D54" s="7">
        <v>320</v>
      </c>
      <c r="E54" s="7">
        <f t="shared" si="3"/>
        <v>151</v>
      </c>
      <c r="F54" s="8">
        <v>0.47</v>
      </c>
      <c r="G54" s="8" t="str">
        <f t="shared" si="4"/>
        <v>High Discount</v>
      </c>
      <c r="H54" s="6"/>
      <c r="I54" s="6"/>
      <c r="J54" s="6" t="str">
        <f t="shared" si="2"/>
        <v>No rating</v>
      </c>
      <c r="K54" s="19"/>
    </row>
    <row r="55" spans="1:13" x14ac:dyDescent="0.35">
      <c r="A55" s="6" t="s">
        <v>5</v>
      </c>
      <c r="B55" s="6" t="s">
        <v>126</v>
      </c>
      <c r="C55" s="7">
        <v>527</v>
      </c>
      <c r="D55" s="7">
        <v>999</v>
      </c>
      <c r="E55" s="7">
        <f t="shared" si="3"/>
        <v>472</v>
      </c>
      <c r="F55" s="8">
        <v>0.47</v>
      </c>
      <c r="G55" s="8" t="str">
        <f t="shared" si="4"/>
        <v>High Discount</v>
      </c>
      <c r="H55" s="6">
        <v>14</v>
      </c>
      <c r="I55" s="6">
        <v>4.0999999999999996</v>
      </c>
      <c r="J55" s="6" t="str">
        <f t="shared" si="2"/>
        <v>Average</v>
      </c>
      <c r="K55" s="19"/>
      <c r="M55" s="11"/>
    </row>
    <row r="56" spans="1:13" x14ac:dyDescent="0.35">
      <c r="A56" s="6" t="s">
        <v>9</v>
      </c>
      <c r="B56" s="6" t="s">
        <v>125</v>
      </c>
      <c r="C56" s="7">
        <v>2999</v>
      </c>
      <c r="D56" s="7">
        <v>3290</v>
      </c>
      <c r="E56" s="7">
        <f t="shared" si="3"/>
        <v>291</v>
      </c>
      <c r="F56" s="8">
        <v>0.09</v>
      </c>
      <c r="G56" s="8" t="str">
        <f t="shared" si="4"/>
        <v>Low Discount</v>
      </c>
      <c r="H56" s="6">
        <v>15</v>
      </c>
      <c r="I56" s="6">
        <v>4</v>
      </c>
      <c r="J56" s="6" t="str">
        <f t="shared" si="2"/>
        <v>Average</v>
      </c>
      <c r="K56" s="19"/>
    </row>
    <row r="57" spans="1:13" x14ac:dyDescent="0.35">
      <c r="A57" s="6" t="s">
        <v>11</v>
      </c>
      <c r="B57" s="6" t="s">
        <v>129</v>
      </c>
      <c r="C57" s="7">
        <v>988</v>
      </c>
      <c r="D57" s="7">
        <v>1580</v>
      </c>
      <c r="E57" s="7">
        <f t="shared" si="3"/>
        <v>592</v>
      </c>
      <c r="F57" s="8">
        <v>0.37</v>
      </c>
      <c r="G57" s="8" t="str">
        <f t="shared" si="4"/>
        <v>Medium Discount</v>
      </c>
      <c r="H57" s="6">
        <v>2</v>
      </c>
      <c r="I57" s="6">
        <v>4</v>
      </c>
      <c r="J57" s="6" t="str">
        <f t="shared" si="2"/>
        <v>Average</v>
      </c>
      <c r="K57" s="19"/>
    </row>
    <row r="58" spans="1:13" x14ac:dyDescent="0.35">
      <c r="A58" s="6" t="s">
        <v>13</v>
      </c>
      <c r="B58" s="6" t="s">
        <v>125</v>
      </c>
      <c r="C58" s="7">
        <v>1600</v>
      </c>
      <c r="D58" s="7">
        <v>2929</v>
      </c>
      <c r="E58" s="7">
        <f t="shared" si="3"/>
        <v>1329</v>
      </c>
      <c r="F58" s="8">
        <v>0.45</v>
      </c>
      <c r="G58" s="8" t="str">
        <f t="shared" si="4"/>
        <v>High Discount</v>
      </c>
      <c r="H58" s="6">
        <v>5</v>
      </c>
      <c r="I58" s="6">
        <v>3.8</v>
      </c>
      <c r="J58" s="6" t="str">
        <f t="shared" si="2"/>
        <v>Average</v>
      </c>
      <c r="K58" s="19"/>
    </row>
    <row r="59" spans="1:13" x14ac:dyDescent="0.35">
      <c r="A59" s="6" t="s">
        <v>14</v>
      </c>
      <c r="B59" s="6" t="s">
        <v>125</v>
      </c>
      <c r="C59" s="7">
        <v>799</v>
      </c>
      <c r="D59" s="7">
        <v>999</v>
      </c>
      <c r="E59" s="7">
        <f t="shared" si="3"/>
        <v>200</v>
      </c>
      <c r="F59" s="8">
        <v>0.2</v>
      </c>
      <c r="G59" s="8" t="str">
        <f t="shared" si="4"/>
        <v>Medium Discount</v>
      </c>
      <c r="H59" s="6">
        <v>12</v>
      </c>
      <c r="I59" s="6">
        <v>4.0999999999999996</v>
      </c>
      <c r="J59" s="6" t="str">
        <f t="shared" si="2"/>
        <v>Average</v>
      </c>
      <c r="K59" s="19"/>
    </row>
    <row r="60" spans="1:13" x14ac:dyDescent="0.35">
      <c r="A60" s="6" t="s">
        <v>18</v>
      </c>
      <c r="B60" s="6" t="s">
        <v>125</v>
      </c>
      <c r="C60" s="7">
        <v>1680</v>
      </c>
      <c r="D60" s="7">
        <v>2499</v>
      </c>
      <c r="E60" s="7">
        <f t="shared" si="3"/>
        <v>819</v>
      </c>
      <c r="F60" s="8">
        <v>0.33</v>
      </c>
      <c r="G60" s="8" t="str">
        <f t="shared" si="4"/>
        <v>Medium Discount</v>
      </c>
      <c r="H60" s="6">
        <v>9</v>
      </c>
      <c r="I60" s="6">
        <v>4.2</v>
      </c>
      <c r="J60" s="6" t="str">
        <f t="shared" si="2"/>
        <v>Average</v>
      </c>
      <c r="K60" s="19"/>
    </row>
    <row r="61" spans="1:13" x14ac:dyDescent="0.35">
      <c r="A61" s="6" t="s">
        <v>24</v>
      </c>
      <c r="B61" s="6" t="s">
        <v>132</v>
      </c>
      <c r="C61" s="7">
        <v>38</v>
      </c>
      <c r="D61" s="7">
        <v>80</v>
      </c>
      <c r="E61" s="7">
        <f t="shared" si="3"/>
        <v>42</v>
      </c>
      <c r="F61" s="8">
        <v>0.53</v>
      </c>
      <c r="G61" s="8" t="str">
        <f t="shared" si="4"/>
        <v>High Discount</v>
      </c>
      <c r="H61" s="6">
        <v>13</v>
      </c>
      <c r="I61" s="6">
        <v>3.3</v>
      </c>
      <c r="J61" s="6" t="str">
        <f t="shared" si="2"/>
        <v>Average</v>
      </c>
      <c r="K61" s="19"/>
    </row>
    <row r="62" spans="1:13" x14ac:dyDescent="0.35">
      <c r="A62" s="6" t="s">
        <v>26</v>
      </c>
      <c r="B62" s="6" t="s">
        <v>129</v>
      </c>
      <c r="C62" s="7">
        <v>880</v>
      </c>
      <c r="D62" s="7">
        <v>1350</v>
      </c>
      <c r="E62" s="7">
        <f t="shared" si="3"/>
        <v>470</v>
      </c>
      <c r="F62" s="8">
        <v>0.35</v>
      </c>
      <c r="G62" s="8" t="str">
        <f t="shared" si="4"/>
        <v>Medium Discount</v>
      </c>
      <c r="H62" s="6">
        <v>6</v>
      </c>
      <c r="I62" s="6">
        <v>4</v>
      </c>
      <c r="J62" s="6" t="str">
        <f t="shared" si="2"/>
        <v>Average</v>
      </c>
      <c r="K62" s="19"/>
    </row>
    <row r="63" spans="1:13" x14ac:dyDescent="0.35">
      <c r="A63" s="6" t="s">
        <v>27</v>
      </c>
      <c r="B63" s="6" t="s">
        <v>130</v>
      </c>
      <c r="C63" s="7">
        <v>1650</v>
      </c>
      <c r="D63" s="7">
        <v>2150</v>
      </c>
      <c r="E63" s="7">
        <f t="shared" si="3"/>
        <v>500</v>
      </c>
      <c r="F63" s="8">
        <v>0.23</v>
      </c>
      <c r="G63" s="8" t="str">
        <f t="shared" si="4"/>
        <v>Medium Discount</v>
      </c>
      <c r="H63" s="6">
        <v>14</v>
      </c>
      <c r="I63" s="6">
        <v>4.4000000000000004</v>
      </c>
      <c r="J63" s="6" t="str">
        <f t="shared" si="2"/>
        <v>Average</v>
      </c>
      <c r="K63" s="19"/>
    </row>
    <row r="64" spans="1:13" x14ac:dyDescent="0.35">
      <c r="A64" s="6" t="s">
        <v>28</v>
      </c>
      <c r="B64" s="6" t="s">
        <v>133</v>
      </c>
      <c r="C64" s="7">
        <v>2048</v>
      </c>
      <c r="D64" s="7">
        <v>4500</v>
      </c>
      <c r="E64" s="7">
        <f t="shared" si="3"/>
        <v>2452</v>
      </c>
      <c r="F64" s="8">
        <v>0.54</v>
      </c>
      <c r="G64" s="8" t="str">
        <f t="shared" si="4"/>
        <v>High Discount</v>
      </c>
      <c r="H64" s="6">
        <v>7</v>
      </c>
      <c r="I64" s="6">
        <v>3.3</v>
      </c>
      <c r="J64" s="6" t="str">
        <f t="shared" si="2"/>
        <v>Average</v>
      </c>
      <c r="K64" s="19"/>
    </row>
    <row r="65" spans="1:11" x14ac:dyDescent="0.35">
      <c r="A65" s="6" t="s">
        <v>30</v>
      </c>
      <c r="B65" s="6" t="s">
        <v>133</v>
      </c>
      <c r="C65" s="7">
        <v>2880</v>
      </c>
      <c r="D65" s="7">
        <v>3520</v>
      </c>
      <c r="E65" s="7">
        <f t="shared" si="3"/>
        <v>640</v>
      </c>
      <c r="F65" s="8">
        <v>0.18</v>
      </c>
      <c r="G65" s="8" t="str">
        <f t="shared" si="4"/>
        <v>Low Discount</v>
      </c>
      <c r="H65" s="6">
        <v>12</v>
      </c>
      <c r="I65" s="6">
        <v>3.8</v>
      </c>
      <c r="J65" s="6" t="str">
        <f t="shared" si="2"/>
        <v>Average</v>
      </c>
      <c r="K65" s="19"/>
    </row>
    <row r="66" spans="1:11" x14ac:dyDescent="0.35">
      <c r="A66" s="6" t="s">
        <v>31</v>
      </c>
      <c r="B66" s="6" t="s">
        <v>124</v>
      </c>
      <c r="C66" s="7">
        <v>1350</v>
      </c>
      <c r="D66" s="7">
        <v>1990</v>
      </c>
      <c r="E66" s="7">
        <f t="shared" ref="E66:E97" si="5">D66-C66</f>
        <v>640</v>
      </c>
      <c r="F66" s="8">
        <v>0.32</v>
      </c>
      <c r="G66" s="8" t="str">
        <f t="shared" ref="G66:G97" si="6">_xlfn.IFS(F66&lt;20%,"Low Discount",F66&lt;=40%,"Medium Discount",F66&gt;40%,"High Discount")</f>
        <v>Medium Discount</v>
      </c>
      <c r="H66" s="6">
        <v>13</v>
      </c>
      <c r="I66" s="6">
        <v>3.8</v>
      </c>
      <c r="J66" s="6" t="str">
        <f t="shared" si="2"/>
        <v>Average</v>
      </c>
      <c r="K66" s="19"/>
    </row>
    <row r="67" spans="1:11" x14ac:dyDescent="0.35">
      <c r="A67" s="6" t="s">
        <v>32</v>
      </c>
      <c r="B67" s="6" t="s">
        <v>125</v>
      </c>
      <c r="C67" s="7">
        <v>1758</v>
      </c>
      <c r="D67" s="7">
        <v>2499</v>
      </c>
      <c r="E67" s="7">
        <f t="shared" si="5"/>
        <v>741</v>
      </c>
      <c r="F67" s="8">
        <v>0.3</v>
      </c>
      <c r="G67" s="8" t="str">
        <f t="shared" si="6"/>
        <v>Medium Discount</v>
      </c>
      <c r="H67" s="6">
        <v>20</v>
      </c>
      <c r="I67" s="6">
        <v>4.0999999999999996</v>
      </c>
      <c r="J67" s="6" t="str">
        <f t="shared" ref="J67:J113" si="7">_xlfn.IFS(I67="","No rating",I67&lt;3,"Poor",I67&lt;=4.4,"Average",I67&gt;=4.5,"Excellent")</f>
        <v>Average</v>
      </c>
      <c r="K67" s="19"/>
    </row>
    <row r="68" spans="1:11" x14ac:dyDescent="0.35">
      <c r="A68" s="6" t="s">
        <v>34</v>
      </c>
      <c r="B68" s="6" t="s">
        <v>128</v>
      </c>
      <c r="C68" s="7">
        <v>185</v>
      </c>
      <c r="D68" s="7">
        <v>382</v>
      </c>
      <c r="E68" s="7">
        <f t="shared" si="5"/>
        <v>197</v>
      </c>
      <c r="F68" s="8">
        <v>0.52</v>
      </c>
      <c r="G68" s="8" t="str">
        <f t="shared" si="6"/>
        <v>High Discount</v>
      </c>
      <c r="H68" s="6">
        <v>9</v>
      </c>
      <c r="I68" s="6">
        <v>3.3</v>
      </c>
      <c r="J68" s="6" t="str">
        <f t="shared" si="7"/>
        <v>Average</v>
      </c>
      <c r="K68" s="19"/>
    </row>
    <row r="69" spans="1:11" x14ac:dyDescent="0.35">
      <c r="A69" s="6" t="s">
        <v>36</v>
      </c>
      <c r="B69" s="6" t="s">
        <v>129</v>
      </c>
      <c r="C69" s="7">
        <v>1820</v>
      </c>
      <c r="D69" s="7">
        <v>3490</v>
      </c>
      <c r="E69" s="7">
        <f t="shared" si="5"/>
        <v>1670</v>
      </c>
      <c r="F69" s="8">
        <v>0.48</v>
      </c>
      <c r="G69" s="8" t="str">
        <f t="shared" si="6"/>
        <v>High Discount</v>
      </c>
      <c r="H69" s="6">
        <v>9</v>
      </c>
      <c r="I69" s="6">
        <v>3.3</v>
      </c>
      <c r="J69" s="6" t="str">
        <f t="shared" si="7"/>
        <v>Average</v>
      </c>
      <c r="K69" s="19"/>
    </row>
    <row r="70" spans="1:11" x14ac:dyDescent="0.35">
      <c r="A70" s="6" t="s">
        <v>41</v>
      </c>
      <c r="B70" s="6" t="s">
        <v>133</v>
      </c>
      <c r="C70" s="7">
        <v>389</v>
      </c>
      <c r="D70" s="7">
        <v>656</v>
      </c>
      <c r="E70" s="7">
        <f t="shared" si="5"/>
        <v>267</v>
      </c>
      <c r="F70" s="8">
        <v>0.41</v>
      </c>
      <c r="G70" s="8" t="str">
        <f t="shared" si="6"/>
        <v>High Discount</v>
      </c>
      <c r="H70" s="6">
        <v>36</v>
      </c>
      <c r="I70" s="6">
        <v>3.3</v>
      </c>
      <c r="J70" s="6" t="str">
        <f t="shared" si="7"/>
        <v>Average</v>
      </c>
      <c r="K70" s="19"/>
    </row>
    <row r="71" spans="1:11" x14ac:dyDescent="0.35">
      <c r="A71" s="6" t="s">
        <v>63</v>
      </c>
      <c r="B71" s="6" t="s">
        <v>129</v>
      </c>
      <c r="C71" s="7">
        <v>458</v>
      </c>
      <c r="D71" s="7">
        <v>986</v>
      </c>
      <c r="E71" s="7">
        <f t="shared" si="5"/>
        <v>528</v>
      </c>
      <c r="F71" s="8">
        <v>0.54</v>
      </c>
      <c r="G71" s="8" t="str">
        <f t="shared" si="6"/>
        <v>High Discount</v>
      </c>
      <c r="H71" s="6">
        <v>10</v>
      </c>
      <c r="I71" s="6">
        <v>3</v>
      </c>
      <c r="J71" s="6" t="str">
        <f t="shared" si="7"/>
        <v>Average</v>
      </c>
      <c r="K71" s="19"/>
    </row>
    <row r="72" spans="1:11" x14ac:dyDescent="0.35">
      <c r="A72" s="6" t="s">
        <v>70</v>
      </c>
      <c r="B72" s="6" t="s">
        <v>125</v>
      </c>
      <c r="C72" s="7">
        <v>3750</v>
      </c>
      <c r="D72" s="7">
        <v>6143</v>
      </c>
      <c r="E72" s="7">
        <f t="shared" si="5"/>
        <v>2393</v>
      </c>
      <c r="F72" s="8">
        <v>0.39</v>
      </c>
      <c r="G72" s="8" t="str">
        <f t="shared" si="6"/>
        <v>Medium Discount</v>
      </c>
      <c r="H72" s="6">
        <v>5</v>
      </c>
      <c r="I72" s="6">
        <v>3</v>
      </c>
      <c r="J72" s="6" t="str">
        <f t="shared" si="7"/>
        <v>Average</v>
      </c>
      <c r="K72" s="19"/>
    </row>
    <row r="73" spans="1:11" x14ac:dyDescent="0.35">
      <c r="A73" s="6" t="s">
        <v>74</v>
      </c>
      <c r="B73" s="6" t="s">
        <v>133</v>
      </c>
      <c r="C73" s="7">
        <v>509</v>
      </c>
      <c r="D73" s="7">
        <v>899</v>
      </c>
      <c r="E73" s="7">
        <f t="shared" si="5"/>
        <v>390</v>
      </c>
      <c r="F73" s="8">
        <v>0.43</v>
      </c>
      <c r="G73" s="8" t="str">
        <f t="shared" si="6"/>
        <v>High Discount</v>
      </c>
      <c r="H73" s="6">
        <v>5</v>
      </c>
      <c r="I73" s="6">
        <v>3</v>
      </c>
      <c r="J73" s="6" t="str">
        <f t="shared" si="7"/>
        <v>Average</v>
      </c>
      <c r="K73" s="19"/>
    </row>
    <row r="74" spans="1:11" x14ac:dyDescent="0.35">
      <c r="A74" s="6" t="s">
        <v>81</v>
      </c>
      <c r="B74" s="6" t="s">
        <v>126</v>
      </c>
      <c r="C74" s="7">
        <v>1189</v>
      </c>
      <c r="D74" s="7">
        <v>2199</v>
      </c>
      <c r="E74" s="7">
        <f t="shared" si="5"/>
        <v>1010</v>
      </c>
      <c r="F74" s="8">
        <v>0.46</v>
      </c>
      <c r="G74" s="8" t="str">
        <f t="shared" si="6"/>
        <v>High Discount</v>
      </c>
      <c r="H74" s="6">
        <v>1</v>
      </c>
      <c r="I74" s="6">
        <v>3</v>
      </c>
      <c r="J74" s="6" t="str">
        <f t="shared" si="7"/>
        <v>Average</v>
      </c>
      <c r="K74" s="19"/>
    </row>
    <row r="75" spans="1:11" x14ac:dyDescent="0.35">
      <c r="A75" s="6" t="s">
        <v>85</v>
      </c>
      <c r="B75" s="6" t="s">
        <v>124</v>
      </c>
      <c r="C75" s="7">
        <v>330</v>
      </c>
      <c r="D75" s="7">
        <v>647</v>
      </c>
      <c r="E75" s="7">
        <f t="shared" si="5"/>
        <v>317</v>
      </c>
      <c r="F75" s="8">
        <v>0.49</v>
      </c>
      <c r="G75" s="8" t="str">
        <f t="shared" si="6"/>
        <v>High Discount</v>
      </c>
      <c r="H75" s="6">
        <v>1</v>
      </c>
      <c r="I75" s="6">
        <v>4</v>
      </c>
      <c r="J75" s="6" t="str">
        <f t="shared" si="7"/>
        <v>Average</v>
      </c>
      <c r="K75" s="19"/>
    </row>
    <row r="76" spans="1:11" x14ac:dyDescent="0.35">
      <c r="A76" s="6" t="s">
        <v>4</v>
      </c>
      <c r="B76" s="6" t="s">
        <v>125</v>
      </c>
      <c r="C76" s="7">
        <v>950</v>
      </c>
      <c r="D76" s="7">
        <v>1525</v>
      </c>
      <c r="E76" s="7">
        <f t="shared" si="5"/>
        <v>575</v>
      </c>
      <c r="F76" s="8">
        <v>0.38</v>
      </c>
      <c r="G76" s="8" t="str">
        <f t="shared" si="6"/>
        <v>Medium Discount</v>
      </c>
      <c r="H76" s="6">
        <v>2</v>
      </c>
      <c r="I76" s="6">
        <v>4.5</v>
      </c>
      <c r="J76" s="6" t="str">
        <f t="shared" si="7"/>
        <v>Excellent</v>
      </c>
      <c r="K76" s="19"/>
    </row>
    <row r="77" spans="1:11" x14ac:dyDescent="0.35">
      <c r="A77" s="6" t="s">
        <v>6</v>
      </c>
      <c r="B77" s="6" t="s">
        <v>127</v>
      </c>
      <c r="C77" s="7">
        <v>2199</v>
      </c>
      <c r="D77" s="7">
        <v>2923</v>
      </c>
      <c r="E77" s="7">
        <f t="shared" si="5"/>
        <v>724</v>
      </c>
      <c r="F77" s="8">
        <v>0.25</v>
      </c>
      <c r="G77" s="8" t="str">
        <f t="shared" si="6"/>
        <v>Medium Discount</v>
      </c>
      <c r="H77" s="6">
        <v>24</v>
      </c>
      <c r="I77" s="6">
        <v>4.5999999999999996</v>
      </c>
      <c r="J77" s="6" t="str">
        <f t="shared" si="7"/>
        <v>Excellent</v>
      </c>
      <c r="K77" s="19"/>
    </row>
    <row r="78" spans="1:11" x14ac:dyDescent="0.35">
      <c r="A78" s="6" t="s">
        <v>7</v>
      </c>
      <c r="B78" s="6" t="s">
        <v>128</v>
      </c>
      <c r="C78" s="7">
        <v>1580</v>
      </c>
      <c r="D78" s="7">
        <v>2499</v>
      </c>
      <c r="E78" s="7">
        <f t="shared" si="5"/>
        <v>919</v>
      </c>
      <c r="F78" s="8">
        <v>0.37</v>
      </c>
      <c r="G78" s="8" t="str">
        <f t="shared" si="6"/>
        <v>Medium Discount</v>
      </c>
      <c r="H78" s="6">
        <v>7</v>
      </c>
      <c r="I78" s="6">
        <v>4.7</v>
      </c>
      <c r="J78" s="6" t="str">
        <f t="shared" si="7"/>
        <v>Excellent</v>
      </c>
      <c r="K78" s="19"/>
    </row>
    <row r="79" spans="1:11" x14ac:dyDescent="0.35">
      <c r="A79" s="6" t="s">
        <v>8</v>
      </c>
      <c r="B79" s="6" t="s">
        <v>129</v>
      </c>
      <c r="C79" s="7">
        <v>1740</v>
      </c>
      <c r="D79" s="7">
        <v>2356</v>
      </c>
      <c r="E79" s="7">
        <f t="shared" si="5"/>
        <v>616</v>
      </c>
      <c r="F79" s="8">
        <v>0.26</v>
      </c>
      <c r="G79" s="8" t="str">
        <f t="shared" si="6"/>
        <v>Medium Discount</v>
      </c>
      <c r="H79" s="6">
        <v>5</v>
      </c>
      <c r="I79" s="6">
        <v>4.8</v>
      </c>
      <c r="J79" s="6" t="str">
        <f t="shared" si="7"/>
        <v>Excellent</v>
      </c>
      <c r="K79" s="19"/>
    </row>
    <row r="80" spans="1:11" x14ac:dyDescent="0.35">
      <c r="A80" s="6" t="s">
        <v>10</v>
      </c>
      <c r="B80" s="6" t="s">
        <v>125</v>
      </c>
      <c r="C80" s="7">
        <v>2319</v>
      </c>
      <c r="D80" s="7">
        <v>3032</v>
      </c>
      <c r="E80" s="7">
        <f t="shared" si="5"/>
        <v>713</v>
      </c>
      <c r="F80" s="8">
        <v>0.24</v>
      </c>
      <c r="G80" s="8" t="str">
        <f t="shared" si="6"/>
        <v>Medium Discount</v>
      </c>
      <c r="H80" s="6">
        <v>55</v>
      </c>
      <c r="I80" s="6">
        <v>4.5999999999999996</v>
      </c>
      <c r="J80" s="6" t="str">
        <f t="shared" si="7"/>
        <v>Excellent</v>
      </c>
      <c r="K80" s="19"/>
    </row>
    <row r="81" spans="1:11" x14ac:dyDescent="0.35">
      <c r="A81" s="6" t="s">
        <v>12</v>
      </c>
      <c r="B81" s="6" t="s">
        <v>130</v>
      </c>
      <c r="C81" s="7">
        <v>1274</v>
      </c>
      <c r="D81" s="7">
        <v>2800</v>
      </c>
      <c r="E81" s="7">
        <f t="shared" si="5"/>
        <v>1526</v>
      </c>
      <c r="F81" s="8">
        <v>0.55000000000000004</v>
      </c>
      <c r="G81" s="8" t="str">
        <f t="shared" si="6"/>
        <v>High Discount</v>
      </c>
      <c r="H81" s="6">
        <v>5</v>
      </c>
      <c r="I81" s="6">
        <v>4.8</v>
      </c>
      <c r="J81" s="6" t="str">
        <f t="shared" si="7"/>
        <v>Excellent</v>
      </c>
      <c r="K81" s="19"/>
    </row>
    <row r="82" spans="1:11" x14ac:dyDescent="0.35">
      <c r="A82" s="6" t="s">
        <v>15</v>
      </c>
      <c r="B82" s="6" t="s">
        <v>125</v>
      </c>
      <c r="C82" s="7">
        <v>990</v>
      </c>
      <c r="D82" s="7">
        <v>1500</v>
      </c>
      <c r="E82" s="7">
        <f t="shared" si="5"/>
        <v>510</v>
      </c>
      <c r="F82" s="8">
        <v>0.34</v>
      </c>
      <c r="G82" s="8" t="str">
        <f t="shared" si="6"/>
        <v>Medium Discount</v>
      </c>
      <c r="H82" s="6">
        <v>39</v>
      </c>
      <c r="I82" s="6">
        <v>4.7</v>
      </c>
      <c r="J82" s="6" t="str">
        <f t="shared" si="7"/>
        <v>Excellent</v>
      </c>
      <c r="K82" s="19"/>
    </row>
    <row r="83" spans="1:11" x14ac:dyDescent="0.35">
      <c r="A83" s="6" t="s">
        <v>16</v>
      </c>
      <c r="B83" s="6" t="s">
        <v>126</v>
      </c>
      <c r="C83" s="7">
        <v>552</v>
      </c>
      <c r="D83" s="7">
        <v>1035</v>
      </c>
      <c r="E83" s="7">
        <f t="shared" si="5"/>
        <v>483</v>
      </c>
      <c r="F83" s="8">
        <v>0.47</v>
      </c>
      <c r="G83" s="8" t="str">
        <f t="shared" si="6"/>
        <v>High Discount</v>
      </c>
      <c r="H83" s="6">
        <v>12</v>
      </c>
      <c r="I83" s="6">
        <v>4.8</v>
      </c>
      <c r="J83" s="6" t="str">
        <f t="shared" si="7"/>
        <v>Excellent</v>
      </c>
      <c r="K83" s="19"/>
    </row>
    <row r="84" spans="1:11" x14ac:dyDescent="0.35">
      <c r="A84" s="6" t="s">
        <v>17</v>
      </c>
      <c r="B84" s="6" t="s">
        <v>131</v>
      </c>
      <c r="C84" s="7">
        <v>501</v>
      </c>
      <c r="D84" s="7">
        <v>860</v>
      </c>
      <c r="E84" s="7">
        <f t="shared" si="5"/>
        <v>359</v>
      </c>
      <c r="F84" s="8">
        <v>0.42</v>
      </c>
      <c r="G84" s="8" t="str">
        <f t="shared" si="6"/>
        <v>High Discount</v>
      </c>
      <c r="H84" s="6">
        <v>6</v>
      </c>
      <c r="I84" s="6">
        <v>4.5</v>
      </c>
      <c r="J84" s="6" t="str">
        <f t="shared" si="7"/>
        <v>Excellent</v>
      </c>
      <c r="K84" s="19"/>
    </row>
    <row r="85" spans="1:11" x14ac:dyDescent="0.35">
      <c r="A85" s="6" t="s">
        <v>19</v>
      </c>
      <c r="B85" s="6" t="s">
        <v>128</v>
      </c>
      <c r="C85" s="7">
        <v>332</v>
      </c>
      <c r="D85" s="7">
        <v>684</v>
      </c>
      <c r="E85" s="7">
        <f t="shared" si="5"/>
        <v>352</v>
      </c>
      <c r="F85" s="8">
        <v>0.51</v>
      </c>
      <c r="G85" s="8" t="str">
        <f t="shared" si="6"/>
        <v>High Discount</v>
      </c>
      <c r="H85" s="6">
        <v>2</v>
      </c>
      <c r="I85" s="6">
        <v>5</v>
      </c>
      <c r="J85" s="6" t="str">
        <f t="shared" si="7"/>
        <v>Excellent</v>
      </c>
      <c r="K85" s="19"/>
    </row>
    <row r="86" spans="1:11" x14ac:dyDescent="0.35">
      <c r="A86" s="6" t="s">
        <v>20</v>
      </c>
      <c r="B86" s="6" t="s">
        <v>126</v>
      </c>
      <c r="C86" s="7">
        <v>195</v>
      </c>
      <c r="D86" s="7">
        <v>360</v>
      </c>
      <c r="E86" s="7">
        <f t="shared" si="5"/>
        <v>165</v>
      </c>
      <c r="F86" s="8">
        <v>0.46</v>
      </c>
      <c r="G86" s="8" t="str">
        <f t="shared" si="6"/>
        <v>High Discount</v>
      </c>
      <c r="H86" s="6">
        <v>2</v>
      </c>
      <c r="I86" s="6">
        <v>5</v>
      </c>
      <c r="J86" s="6" t="str">
        <f t="shared" si="7"/>
        <v>Excellent</v>
      </c>
      <c r="K86" s="19"/>
    </row>
    <row r="87" spans="1:11" x14ac:dyDescent="0.35">
      <c r="A87" s="6" t="s">
        <v>21</v>
      </c>
      <c r="B87" s="6" t="s">
        <v>130</v>
      </c>
      <c r="C87" s="7">
        <v>2025</v>
      </c>
      <c r="D87" s="7">
        <v>3971</v>
      </c>
      <c r="E87" s="7">
        <f t="shared" si="5"/>
        <v>1946</v>
      </c>
      <c r="F87" s="8">
        <v>0.49</v>
      </c>
      <c r="G87" s="8" t="str">
        <f t="shared" si="6"/>
        <v>High Discount</v>
      </c>
      <c r="H87" s="6">
        <v>3</v>
      </c>
      <c r="I87" s="6">
        <v>5</v>
      </c>
      <c r="J87" s="6" t="str">
        <f t="shared" si="7"/>
        <v>Excellent</v>
      </c>
      <c r="K87" s="19"/>
    </row>
    <row r="88" spans="1:11" x14ac:dyDescent="0.35">
      <c r="A88" s="6" t="s">
        <v>22</v>
      </c>
      <c r="B88" s="6" t="s">
        <v>126</v>
      </c>
      <c r="C88" s="7">
        <v>2999</v>
      </c>
      <c r="D88" s="7">
        <v>3699</v>
      </c>
      <c r="E88" s="7">
        <f t="shared" si="5"/>
        <v>700</v>
      </c>
      <c r="F88" s="8">
        <v>0.19</v>
      </c>
      <c r="G88" s="8" t="str">
        <f t="shared" si="6"/>
        <v>Low Discount</v>
      </c>
      <c r="H88" s="6">
        <v>5</v>
      </c>
      <c r="I88" s="6">
        <v>4.5999999999999996</v>
      </c>
      <c r="J88" s="6" t="str">
        <f t="shared" si="7"/>
        <v>Excellent</v>
      </c>
      <c r="K88" s="19"/>
    </row>
    <row r="89" spans="1:11" x14ac:dyDescent="0.35">
      <c r="A89" s="6" t="s">
        <v>23</v>
      </c>
      <c r="B89" s="6" t="s">
        <v>126</v>
      </c>
      <c r="C89" s="7">
        <v>998</v>
      </c>
      <c r="D89" s="7">
        <v>1966</v>
      </c>
      <c r="E89" s="7">
        <f t="shared" si="5"/>
        <v>968</v>
      </c>
      <c r="F89" s="8">
        <v>0.49</v>
      </c>
      <c r="G89" s="8" t="str">
        <f t="shared" si="6"/>
        <v>High Discount</v>
      </c>
      <c r="H89" s="6">
        <v>44</v>
      </c>
      <c r="I89" s="6">
        <v>4.5999999999999996</v>
      </c>
      <c r="J89" s="6" t="str">
        <f t="shared" si="7"/>
        <v>Excellent</v>
      </c>
      <c r="K89" s="19"/>
    </row>
    <row r="90" spans="1:11" x14ac:dyDescent="0.35">
      <c r="A90" s="6" t="s">
        <v>29</v>
      </c>
      <c r="B90" s="6" t="s">
        <v>125</v>
      </c>
      <c r="C90" s="7">
        <v>420</v>
      </c>
      <c r="D90" s="7">
        <v>647</v>
      </c>
      <c r="E90" s="7">
        <f t="shared" si="5"/>
        <v>227</v>
      </c>
      <c r="F90" s="8">
        <v>0.35</v>
      </c>
      <c r="G90" s="8" t="str">
        <f t="shared" si="6"/>
        <v>Medium Discount</v>
      </c>
      <c r="H90" s="6">
        <v>49</v>
      </c>
      <c r="I90" s="6">
        <v>4.5999999999999996</v>
      </c>
      <c r="J90" s="6" t="str">
        <f t="shared" si="7"/>
        <v>Excellent</v>
      </c>
      <c r="K90" s="19"/>
    </row>
    <row r="91" spans="1:11" x14ac:dyDescent="0.35">
      <c r="A91" s="6" t="s">
        <v>35</v>
      </c>
      <c r="B91" s="6" t="s">
        <v>124</v>
      </c>
      <c r="C91" s="7">
        <v>980</v>
      </c>
      <c r="D91" s="7">
        <v>1490</v>
      </c>
      <c r="E91" s="7">
        <f t="shared" si="5"/>
        <v>510</v>
      </c>
      <c r="F91" s="8">
        <v>0.34</v>
      </c>
      <c r="G91" s="8" t="str">
        <f t="shared" si="6"/>
        <v>Medium Discount</v>
      </c>
      <c r="H91" s="6">
        <v>12</v>
      </c>
      <c r="I91" s="6">
        <v>4.7</v>
      </c>
      <c r="J91" s="6" t="str">
        <f t="shared" si="7"/>
        <v>Excellent</v>
      </c>
      <c r="K91" s="19"/>
    </row>
    <row r="92" spans="1:11" x14ac:dyDescent="0.35">
      <c r="A92" s="6" t="s">
        <v>37</v>
      </c>
      <c r="B92" s="6" t="s">
        <v>133</v>
      </c>
      <c r="C92" s="7">
        <v>1940</v>
      </c>
      <c r="D92" s="7">
        <v>2650</v>
      </c>
      <c r="E92" s="7">
        <f t="shared" si="5"/>
        <v>710</v>
      </c>
      <c r="F92" s="8">
        <v>0.27</v>
      </c>
      <c r="G92" s="8" t="str">
        <f t="shared" si="6"/>
        <v>Medium Discount</v>
      </c>
      <c r="H92" s="6">
        <v>20</v>
      </c>
      <c r="I92" s="6">
        <v>4.7</v>
      </c>
      <c r="J92" s="6" t="str">
        <f t="shared" si="7"/>
        <v>Excellent</v>
      </c>
      <c r="K92" s="19"/>
    </row>
    <row r="93" spans="1:11" x14ac:dyDescent="0.35">
      <c r="A93" s="6" t="s">
        <v>38</v>
      </c>
      <c r="B93" s="6" t="s">
        <v>133</v>
      </c>
      <c r="C93" s="7">
        <v>1980</v>
      </c>
      <c r="D93" s="7">
        <v>2699</v>
      </c>
      <c r="E93" s="7">
        <f t="shared" si="5"/>
        <v>719</v>
      </c>
      <c r="F93" s="8">
        <v>0.27</v>
      </c>
      <c r="G93" s="8" t="str">
        <f t="shared" si="6"/>
        <v>Medium Discount</v>
      </c>
      <c r="H93" s="6">
        <v>32</v>
      </c>
      <c r="I93" s="6">
        <v>4.5</v>
      </c>
      <c r="J93" s="6" t="str">
        <f t="shared" si="7"/>
        <v>Excellent</v>
      </c>
      <c r="K93" s="19"/>
    </row>
    <row r="94" spans="1:11" x14ac:dyDescent="0.35">
      <c r="A94" s="6" t="s">
        <v>39</v>
      </c>
      <c r="B94" s="6" t="s">
        <v>133</v>
      </c>
      <c r="C94" s="7">
        <v>1620</v>
      </c>
      <c r="D94" s="7">
        <v>2690</v>
      </c>
      <c r="E94" s="7">
        <f t="shared" si="5"/>
        <v>1070</v>
      </c>
      <c r="F94" s="8">
        <v>0.4</v>
      </c>
      <c r="G94" s="8" t="str">
        <f t="shared" si="6"/>
        <v>Medium Discount</v>
      </c>
      <c r="H94" s="6">
        <v>1</v>
      </c>
      <c r="I94" s="6">
        <v>5</v>
      </c>
      <c r="J94" s="6" t="str">
        <f t="shared" si="7"/>
        <v>Excellent</v>
      </c>
      <c r="K94" s="19"/>
    </row>
    <row r="95" spans="1:11" x14ac:dyDescent="0.35">
      <c r="A95" s="6" t="s">
        <v>40</v>
      </c>
      <c r="B95" s="6" t="s">
        <v>126</v>
      </c>
      <c r="C95" s="7">
        <v>171</v>
      </c>
      <c r="D95" s="7">
        <v>360</v>
      </c>
      <c r="E95" s="7">
        <f t="shared" si="5"/>
        <v>189</v>
      </c>
      <c r="F95" s="8">
        <v>0.53</v>
      </c>
      <c r="G95" s="8" t="str">
        <f t="shared" si="6"/>
        <v>High Discount</v>
      </c>
      <c r="H95" s="6">
        <v>2</v>
      </c>
      <c r="I95" s="6">
        <v>5</v>
      </c>
      <c r="J95" s="6" t="str">
        <f t="shared" si="7"/>
        <v>Excellent</v>
      </c>
      <c r="K95" s="19"/>
    </row>
    <row r="96" spans="1:11" x14ac:dyDescent="0.35">
      <c r="A96" s="6" t="s">
        <v>42</v>
      </c>
      <c r="B96" s="6" t="s">
        <v>126</v>
      </c>
      <c r="C96" s="7">
        <v>1980</v>
      </c>
      <c r="D96" s="7">
        <v>3200</v>
      </c>
      <c r="E96" s="7">
        <f t="shared" si="5"/>
        <v>1220</v>
      </c>
      <c r="F96" s="8">
        <v>0.38</v>
      </c>
      <c r="G96" s="8" t="str">
        <f t="shared" si="6"/>
        <v>Medium Discount</v>
      </c>
      <c r="H96" s="6">
        <v>2</v>
      </c>
      <c r="I96" s="6">
        <v>4.5</v>
      </c>
      <c r="J96" s="6" t="str">
        <f t="shared" si="7"/>
        <v>Excellent</v>
      </c>
      <c r="K96" s="19"/>
    </row>
    <row r="97" spans="1:13" x14ac:dyDescent="0.35">
      <c r="A97" s="6" t="s">
        <v>82</v>
      </c>
      <c r="B97" s="6" t="s">
        <v>133</v>
      </c>
      <c r="C97" s="7">
        <v>979</v>
      </c>
      <c r="D97" s="7">
        <v>1920</v>
      </c>
      <c r="E97" s="7">
        <f t="shared" si="5"/>
        <v>941</v>
      </c>
      <c r="F97" s="8">
        <v>0.49</v>
      </c>
      <c r="G97" s="8" t="str">
        <f t="shared" si="6"/>
        <v>High Discount</v>
      </c>
      <c r="H97" s="6">
        <v>1</v>
      </c>
      <c r="I97" s="6">
        <v>5</v>
      </c>
      <c r="J97" s="6" t="str">
        <f t="shared" si="7"/>
        <v>Excellent</v>
      </c>
      <c r="K97" s="19"/>
    </row>
    <row r="98" spans="1:13" x14ac:dyDescent="0.35">
      <c r="A98" s="6" t="s">
        <v>102</v>
      </c>
      <c r="B98" s="6" t="s">
        <v>124</v>
      </c>
      <c r="C98" s="7">
        <v>3640</v>
      </c>
      <c r="D98" s="7">
        <v>4588</v>
      </c>
      <c r="E98" s="7">
        <f t="shared" ref="E98:E113" si="8">D98-C98</f>
        <v>948</v>
      </c>
      <c r="F98" s="8">
        <v>0.21</v>
      </c>
      <c r="G98" s="8" t="str">
        <f t="shared" ref="G98:G113" si="9">_xlfn.IFS(F98&lt;20%,"Low Discount",F98&lt;=40%,"Medium Discount",F98&gt;40%,"High Discount")</f>
        <v>Medium Discount</v>
      </c>
      <c r="H98" s="6">
        <v>1</v>
      </c>
      <c r="I98" s="6">
        <v>5</v>
      </c>
      <c r="J98" s="6" t="str">
        <f t="shared" si="7"/>
        <v>Excellent</v>
      </c>
      <c r="K98" s="19"/>
    </row>
    <row r="99" spans="1:13" ht="29" x14ac:dyDescent="0.35">
      <c r="A99" s="6" t="s">
        <v>60</v>
      </c>
      <c r="B99" s="6" t="s">
        <v>125</v>
      </c>
      <c r="C99" s="7">
        <v>657</v>
      </c>
      <c r="D99" s="7">
        <v>1288</v>
      </c>
      <c r="E99" s="7">
        <f t="shared" si="8"/>
        <v>631</v>
      </c>
      <c r="F99" s="8">
        <v>0.49</v>
      </c>
      <c r="G99" s="8" t="str">
        <f t="shared" si="9"/>
        <v>High Discount</v>
      </c>
      <c r="H99" s="6"/>
      <c r="I99" s="6">
        <v>2</v>
      </c>
      <c r="J99" s="6" t="str">
        <f t="shared" si="7"/>
        <v>Poor</v>
      </c>
      <c r="K99" s="19"/>
      <c r="L99" s="10" t="s">
        <v>122</v>
      </c>
      <c r="M99" t="str">
        <f>INDEX(A95:A206,MATCH(MIN(C95:C206),C95:C206,0))</f>
        <v>Classic Black Cat Cotton Hemp Pillow Case For Home Car</v>
      </c>
    </row>
    <row r="100" spans="1:13" x14ac:dyDescent="0.35">
      <c r="A100" s="6" t="s">
        <v>62</v>
      </c>
      <c r="B100" s="6" t="s">
        <v>124</v>
      </c>
      <c r="C100" s="7">
        <v>2170</v>
      </c>
      <c r="D100" s="7">
        <v>2500</v>
      </c>
      <c r="E100" s="7">
        <f t="shared" si="8"/>
        <v>330</v>
      </c>
      <c r="F100" s="8">
        <v>0.13</v>
      </c>
      <c r="G100" s="8" t="str">
        <f t="shared" si="9"/>
        <v>Low Discount</v>
      </c>
      <c r="H100" s="6">
        <v>6</v>
      </c>
      <c r="I100" s="6">
        <v>2.5</v>
      </c>
      <c r="J100" s="6" t="str">
        <f t="shared" si="7"/>
        <v>Poor</v>
      </c>
      <c r="K100" s="19"/>
    </row>
    <row r="101" spans="1:13" x14ac:dyDescent="0.35">
      <c r="A101" s="6" t="s">
        <v>64</v>
      </c>
      <c r="B101" s="6" t="s">
        <v>124</v>
      </c>
      <c r="C101" s="7">
        <v>2115</v>
      </c>
      <c r="D101" s="7">
        <v>4700</v>
      </c>
      <c r="E101" s="7">
        <f t="shared" si="8"/>
        <v>2585</v>
      </c>
      <c r="F101" s="8">
        <v>0.55000000000000004</v>
      </c>
      <c r="G101" s="8" t="str">
        <f t="shared" si="9"/>
        <v>High Discount</v>
      </c>
      <c r="H101" s="6">
        <v>13</v>
      </c>
      <c r="I101" s="6">
        <v>2.1</v>
      </c>
      <c r="J101" s="6" t="str">
        <f t="shared" si="7"/>
        <v>Poor</v>
      </c>
      <c r="K101" s="19"/>
    </row>
    <row r="102" spans="1:13" x14ac:dyDescent="0.35">
      <c r="A102" s="6" t="s">
        <v>65</v>
      </c>
      <c r="B102" s="6" t="s">
        <v>127</v>
      </c>
      <c r="C102" s="7">
        <v>445</v>
      </c>
      <c r="D102" s="7">
        <v>873</v>
      </c>
      <c r="E102" s="7">
        <f t="shared" si="8"/>
        <v>428</v>
      </c>
      <c r="F102" s="8">
        <v>0.49</v>
      </c>
      <c r="G102" s="8" t="str">
        <f t="shared" si="9"/>
        <v>High Discount</v>
      </c>
      <c r="H102" s="6">
        <v>69</v>
      </c>
      <c r="I102" s="6">
        <v>2.1</v>
      </c>
      <c r="J102" s="6" t="str">
        <f t="shared" si="7"/>
        <v>Poor</v>
      </c>
      <c r="K102" s="19"/>
    </row>
    <row r="103" spans="1:13" x14ac:dyDescent="0.35">
      <c r="A103" s="6" t="s">
        <v>66</v>
      </c>
      <c r="B103" s="6" t="s">
        <v>129</v>
      </c>
      <c r="C103" s="7">
        <v>325</v>
      </c>
      <c r="D103" s="7">
        <v>680</v>
      </c>
      <c r="E103" s="7">
        <f t="shared" si="8"/>
        <v>355</v>
      </c>
      <c r="F103" s="8">
        <v>0.52</v>
      </c>
      <c r="G103" s="8" t="str">
        <f t="shared" si="9"/>
        <v>High Discount</v>
      </c>
      <c r="H103" s="6">
        <v>15</v>
      </c>
      <c r="I103" s="6">
        <v>2.8</v>
      </c>
      <c r="J103" s="6" t="str">
        <f t="shared" si="7"/>
        <v>Poor</v>
      </c>
      <c r="K103" s="19"/>
    </row>
    <row r="104" spans="1:13" x14ac:dyDescent="0.35">
      <c r="A104" s="6" t="s">
        <v>67</v>
      </c>
      <c r="B104" s="6" t="s">
        <v>127</v>
      </c>
      <c r="C104" s="7">
        <v>1220</v>
      </c>
      <c r="D104" s="7">
        <v>1555</v>
      </c>
      <c r="E104" s="7">
        <f t="shared" si="8"/>
        <v>335</v>
      </c>
      <c r="F104" s="8">
        <v>0.22</v>
      </c>
      <c r="G104" s="8" t="str">
        <f t="shared" si="9"/>
        <v>Medium Discount</v>
      </c>
      <c r="H104" s="6">
        <v>16</v>
      </c>
      <c r="I104" s="6">
        <v>2.7</v>
      </c>
      <c r="J104" s="6" t="str">
        <f t="shared" si="7"/>
        <v>Poor</v>
      </c>
      <c r="K104" s="19"/>
    </row>
    <row r="105" spans="1:13" x14ac:dyDescent="0.35">
      <c r="A105" s="6" t="s">
        <v>68</v>
      </c>
      <c r="B105" s="6" t="s">
        <v>126</v>
      </c>
      <c r="C105" s="7">
        <v>990</v>
      </c>
      <c r="D105" s="7">
        <v>1814</v>
      </c>
      <c r="E105" s="7">
        <f t="shared" si="8"/>
        <v>824</v>
      </c>
      <c r="F105" s="8">
        <v>0.45</v>
      </c>
      <c r="G105" s="8" t="str">
        <f t="shared" si="9"/>
        <v>High Discount</v>
      </c>
      <c r="H105" s="6">
        <v>6</v>
      </c>
      <c r="I105" s="6">
        <v>2.9</v>
      </c>
      <c r="J105" s="6" t="str">
        <f t="shared" si="7"/>
        <v>Poor</v>
      </c>
      <c r="K105" s="19"/>
    </row>
    <row r="106" spans="1:13" x14ac:dyDescent="0.35">
      <c r="A106" s="6" t="s">
        <v>69</v>
      </c>
      <c r="B106" s="6" t="s">
        <v>124</v>
      </c>
      <c r="C106" s="7">
        <v>1000</v>
      </c>
      <c r="D106" s="7">
        <v>2000</v>
      </c>
      <c r="E106" s="7">
        <f t="shared" si="8"/>
        <v>1000</v>
      </c>
      <c r="F106" s="8">
        <v>0.5</v>
      </c>
      <c r="G106" s="8" t="str">
        <f t="shared" si="9"/>
        <v>High Discount</v>
      </c>
      <c r="H106" s="6">
        <v>7</v>
      </c>
      <c r="I106" s="6">
        <v>2.2000000000000002</v>
      </c>
      <c r="J106" s="6" t="str">
        <f t="shared" si="7"/>
        <v>Poor</v>
      </c>
      <c r="K106" s="19"/>
    </row>
    <row r="107" spans="1:13" x14ac:dyDescent="0.35">
      <c r="A107" s="6" t="s">
        <v>71</v>
      </c>
      <c r="B107" s="6" t="s">
        <v>131</v>
      </c>
      <c r="C107" s="7">
        <v>382</v>
      </c>
      <c r="D107" s="7">
        <v>700</v>
      </c>
      <c r="E107" s="7">
        <f t="shared" si="8"/>
        <v>318</v>
      </c>
      <c r="F107" s="8">
        <v>0.45</v>
      </c>
      <c r="G107" s="8" t="str">
        <f t="shared" si="9"/>
        <v>High Discount</v>
      </c>
      <c r="H107" s="6">
        <v>17</v>
      </c>
      <c r="I107" s="6">
        <v>2.6</v>
      </c>
      <c r="J107" s="6" t="str">
        <f t="shared" si="7"/>
        <v>Poor</v>
      </c>
      <c r="K107" s="19"/>
    </row>
    <row r="108" spans="1:13" x14ac:dyDescent="0.35">
      <c r="A108" s="6" t="s">
        <v>72</v>
      </c>
      <c r="B108" s="6" t="s">
        <v>133</v>
      </c>
      <c r="C108" s="7">
        <v>2300</v>
      </c>
      <c r="D108" s="7">
        <v>3240</v>
      </c>
      <c r="E108" s="7">
        <f t="shared" si="8"/>
        <v>940</v>
      </c>
      <c r="F108" s="8">
        <v>0.28999999999999998</v>
      </c>
      <c r="G108" s="8" t="str">
        <f t="shared" si="9"/>
        <v>Medium Discount</v>
      </c>
      <c r="H108" s="6">
        <v>5</v>
      </c>
      <c r="I108" s="6">
        <v>2.6</v>
      </c>
      <c r="J108" s="6" t="str">
        <f t="shared" si="7"/>
        <v>Poor</v>
      </c>
      <c r="K108" s="19"/>
    </row>
    <row r="109" spans="1:13" x14ac:dyDescent="0.35">
      <c r="A109" s="6" t="s">
        <v>73</v>
      </c>
      <c r="B109" s="6" t="s">
        <v>126</v>
      </c>
      <c r="C109" s="7">
        <v>345</v>
      </c>
      <c r="D109" s="7">
        <v>602</v>
      </c>
      <c r="E109" s="7">
        <f t="shared" si="8"/>
        <v>257</v>
      </c>
      <c r="F109" s="8">
        <v>0.43</v>
      </c>
      <c r="G109" s="8" t="str">
        <f t="shared" si="9"/>
        <v>High Discount</v>
      </c>
      <c r="H109" s="6">
        <v>6</v>
      </c>
      <c r="I109" s="6">
        <v>2.2999999999999998</v>
      </c>
      <c r="J109" s="6" t="str">
        <f t="shared" si="7"/>
        <v>Poor</v>
      </c>
      <c r="K109" s="19"/>
    </row>
    <row r="110" spans="1:13" x14ac:dyDescent="0.35">
      <c r="A110" s="6" t="s">
        <v>75</v>
      </c>
      <c r="B110" s="6" t="s">
        <v>133</v>
      </c>
      <c r="C110" s="7">
        <v>968</v>
      </c>
      <c r="D110" s="7">
        <v>1814</v>
      </c>
      <c r="E110" s="7">
        <f t="shared" si="8"/>
        <v>846</v>
      </c>
      <c r="F110" s="8">
        <v>0.47</v>
      </c>
      <c r="G110" s="8" t="str">
        <f t="shared" si="9"/>
        <v>High Discount</v>
      </c>
      <c r="H110" s="6">
        <v>6</v>
      </c>
      <c r="I110" s="6">
        <v>2.2000000000000002</v>
      </c>
      <c r="J110" s="6" t="str">
        <f t="shared" si="7"/>
        <v>Poor</v>
      </c>
      <c r="K110" s="19"/>
    </row>
    <row r="111" spans="1:13" x14ac:dyDescent="0.35">
      <c r="A111" s="6" t="s">
        <v>76</v>
      </c>
      <c r="B111" s="6" t="s">
        <v>131</v>
      </c>
      <c r="C111" s="7">
        <v>1570</v>
      </c>
      <c r="D111" s="7">
        <v>2988</v>
      </c>
      <c r="E111" s="7">
        <f t="shared" si="8"/>
        <v>1418</v>
      </c>
      <c r="F111" s="8">
        <v>0.47</v>
      </c>
      <c r="G111" s="8" t="str">
        <f t="shared" si="9"/>
        <v>High Discount</v>
      </c>
      <c r="H111" s="6">
        <v>7</v>
      </c>
      <c r="I111" s="6">
        <v>2.2000000000000002</v>
      </c>
      <c r="J111" s="6" t="str">
        <f t="shared" si="7"/>
        <v>Poor</v>
      </c>
      <c r="K111" s="19"/>
    </row>
    <row r="112" spans="1:13" x14ac:dyDescent="0.35">
      <c r="A112" s="6" t="s">
        <v>77</v>
      </c>
      <c r="B112" s="6" t="s">
        <v>129</v>
      </c>
      <c r="C112" s="7">
        <v>790</v>
      </c>
      <c r="D112" s="7">
        <v>1485</v>
      </c>
      <c r="E112" s="7">
        <f t="shared" si="8"/>
        <v>695</v>
      </c>
      <c r="F112" s="8">
        <v>0.47</v>
      </c>
      <c r="G112" s="8" t="str">
        <f t="shared" si="9"/>
        <v>High Discount</v>
      </c>
      <c r="H112" s="6"/>
      <c r="I112" s="6">
        <v>2.1</v>
      </c>
      <c r="J112" s="6" t="str">
        <f t="shared" si="7"/>
        <v>Poor</v>
      </c>
      <c r="K112" s="19"/>
    </row>
    <row r="113" spans="1:11" x14ac:dyDescent="0.35">
      <c r="A113" s="6" t="s">
        <v>111</v>
      </c>
      <c r="B113" s="6" t="s">
        <v>126</v>
      </c>
      <c r="C113" s="7">
        <v>450</v>
      </c>
      <c r="D113" s="7">
        <v>900</v>
      </c>
      <c r="E113" s="7">
        <f t="shared" si="8"/>
        <v>450</v>
      </c>
      <c r="F113" s="8">
        <v>0.5</v>
      </c>
      <c r="G113" s="8" t="str">
        <f t="shared" si="9"/>
        <v>High Discount</v>
      </c>
      <c r="H113" s="6">
        <v>1</v>
      </c>
      <c r="I113" s="6">
        <v>2</v>
      </c>
      <c r="J113" s="6" t="str">
        <f t="shared" si="7"/>
        <v>Poor</v>
      </c>
      <c r="K113" s="19"/>
    </row>
    <row r="114" spans="1:11" x14ac:dyDescent="0.35">
      <c r="F114" s="1"/>
    </row>
  </sheetData>
  <conditionalFormatting sqref="A1:A113 A117:A1048576">
    <cfRule type="duplicateValues" dxfId="96" priority="2"/>
  </conditionalFormatting>
  <conditionalFormatting sqref="A1:A1048576">
    <cfRule type="duplicateValues" dxfId="95" priority="1"/>
  </conditionalFormatting>
  <pageMargins left="0.7" right="0.7" top="0.75" bottom="0.75" header="0.3" footer="0.3"/>
  <pageSetup orientation="portrait" r:id="rId1"/>
  <ignoredErrors>
    <ignoredError sqref="M7" formulaRange="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8EC3-B1D6-410D-A22E-1643B740FE0F}">
  <dimension ref="A1"/>
  <sheetViews>
    <sheetView tabSelected="1" zoomScale="49" zoomScaleNormal="49" workbookViewId="0">
      <selection activeCell="AD16" sqref="AD16"/>
    </sheetView>
  </sheetViews>
  <sheetFormatPr defaultRowHeight="14.5" x14ac:dyDescent="0.35"/>
  <cols>
    <col min="1" max="16384" width="8.726562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AV.discount &amp; rating</vt:lpstr>
      <vt:lpstr>Total_reviews</vt:lpstr>
      <vt:lpstr>discounts_and_reviews</vt:lpstr>
      <vt:lpstr>Ratings</vt:lpstr>
      <vt:lpstr>Top_10_Ratings</vt:lpstr>
      <vt:lpstr>Top_10_Review</vt:lpstr>
      <vt:lpstr>Top_10_Discount</vt:lpstr>
      <vt:lpstr>products_by_rating_category</vt:lpstr>
      <vt:lpstr>Products_by_discount</vt:lpstr>
      <vt:lpstr>Excel_jumia_dataset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KINTU ANDREW</dc:creator>
  <cp:lastModifiedBy>USER</cp:lastModifiedBy>
  <dcterms:created xsi:type="dcterms:W3CDTF">2026-06-06T17:28:51Z</dcterms:created>
  <dcterms:modified xsi:type="dcterms:W3CDTF">2026-06-12T15:11:37Z</dcterms:modified>
</cp:coreProperties>
</file>